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361" documentId="11_02C210A0F600EF7E224777807AC0D37721B77FAB" xr6:coauthVersionLast="47" xr6:coauthVersionMax="47" xr10:uidLastSave="{7B21D142-E101-4FD7-81EA-F8D2420BF69B}"/>
  <bookViews>
    <workbookView xWindow="0" yWindow="0" windowWidth="0" windowHeight="0" firstSheet="1" activeTab="1" xr2:uid="{00000000-000D-0000-FFFF-FFFF00000000}"/>
  </bookViews>
  <sheets>
    <sheet name="Dashboard" sheetId="5" r:id="rId1"/>
    <sheet name="Employee Master" sheetId="1" r:id="rId2"/>
    <sheet name="Task Management" sheetId="2" r:id="rId3"/>
    <sheet name="Weekly Task View" sheetId="3" r:id="rId4"/>
    <sheet name="Monthly Summary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8" i="5"/>
  <c r="S17" i="5"/>
  <c r="S16" i="5"/>
  <c r="S15" i="5"/>
  <c r="S14" i="5"/>
  <c r="S13" i="5"/>
  <c r="P22" i="5"/>
  <c r="O22" i="5"/>
  <c r="P21" i="5"/>
  <c r="O21" i="5"/>
  <c r="P20" i="5"/>
  <c r="O20" i="5"/>
  <c r="P19" i="5"/>
  <c r="O19" i="5"/>
  <c r="P18" i="5"/>
  <c r="O18" i="5"/>
  <c r="P17" i="5"/>
  <c r="O17" i="5"/>
  <c r="P16" i="5"/>
  <c r="O16" i="5"/>
  <c r="P15" i="5"/>
  <c r="O15" i="5"/>
  <c r="P14" i="5"/>
  <c r="O14" i="5"/>
  <c r="P13" i="5"/>
  <c r="O13" i="5"/>
  <c r="R8" i="5"/>
  <c r="R7" i="5"/>
  <c r="R6" i="5"/>
  <c r="R5" i="5"/>
  <c r="O9" i="5"/>
  <c r="O8" i="5"/>
  <c r="O7" i="5"/>
  <c r="O6" i="5"/>
  <c r="O5" i="5"/>
  <c r="A8" i="5"/>
  <c r="I5" i="5"/>
  <c r="G5" i="5"/>
  <c r="E5" i="5"/>
  <c r="C5" i="5"/>
  <c r="A5" i="5"/>
  <c r="A2" i="5"/>
  <c r="B5" i="4"/>
  <c r="C5" i="4"/>
  <c r="D5" i="4"/>
  <c r="E5" i="4"/>
  <c r="G5" i="4"/>
  <c r="H5" i="4"/>
  <c r="I5" i="4"/>
  <c r="B6" i="4"/>
  <c r="C6" i="4"/>
  <c r="D6" i="4"/>
  <c r="E6" i="4"/>
  <c r="G6" i="4"/>
  <c r="H6" i="4"/>
  <c r="I6" i="4"/>
  <c r="B7" i="4"/>
  <c r="C7" i="4"/>
  <c r="D7" i="4"/>
  <c r="E7" i="4"/>
  <c r="G7" i="4"/>
  <c r="H7" i="4"/>
  <c r="I7" i="4"/>
  <c r="B8" i="4"/>
  <c r="C8" i="4"/>
  <c r="D8" i="4"/>
  <c r="E8" i="4"/>
  <c r="G8" i="4"/>
  <c r="H8" i="4"/>
  <c r="I8" i="4"/>
  <c r="B9" i="4"/>
  <c r="C9" i="4"/>
  <c r="D9" i="4"/>
  <c r="E9" i="4"/>
  <c r="G9" i="4"/>
  <c r="H9" i="4"/>
  <c r="I9" i="4"/>
  <c r="B10" i="4"/>
  <c r="C10" i="4"/>
  <c r="D10" i="4"/>
  <c r="E10" i="4"/>
  <c r="G10" i="4"/>
  <c r="H10" i="4"/>
  <c r="I10" i="4"/>
  <c r="B11" i="4"/>
  <c r="C11" i="4"/>
  <c r="D11" i="4"/>
  <c r="E11" i="4"/>
  <c r="G11" i="4"/>
  <c r="H11" i="4"/>
  <c r="I11" i="4"/>
  <c r="B12" i="4"/>
  <c r="C12" i="4"/>
  <c r="D12" i="4"/>
  <c r="E12" i="4"/>
  <c r="G12" i="4"/>
  <c r="H12" i="4"/>
  <c r="I12" i="4"/>
  <c r="B13" i="4"/>
  <c r="C13" i="4"/>
  <c r="D13" i="4"/>
  <c r="E13" i="4"/>
  <c r="G13" i="4"/>
  <c r="H13" i="4"/>
  <c r="I13" i="4"/>
  <c r="B14" i="4"/>
  <c r="C14" i="4"/>
  <c r="D14" i="4"/>
  <c r="E14" i="4"/>
  <c r="G14" i="4"/>
  <c r="H14" i="4"/>
  <c r="I14" i="4"/>
  <c r="B2" i="4"/>
  <c r="A5" i="3"/>
  <c r="B5" i="3"/>
  <c r="C5" i="3"/>
  <c r="D5" i="3"/>
  <c r="E5" i="3"/>
  <c r="F5" i="3"/>
  <c r="G5" i="3"/>
  <c r="H5" i="3"/>
  <c r="A6" i="3"/>
  <c r="B6" i="3"/>
  <c r="C6" i="3"/>
  <c r="D6" i="3"/>
  <c r="E6" i="3"/>
  <c r="F6" i="3"/>
  <c r="G6" i="3"/>
  <c r="H6" i="3"/>
  <c r="A7" i="3"/>
  <c r="B7" i="3"/>
  <c r="C7" i="3"/>
  <c r="D7" i="3"/>
  <c r="E7" i="3"/>
  <c r="F7" i="3"/>
  <c r="G7" i="3"/>
  <c r="H7" i="3"/>
  <c r="A8" i="3"/>
  <c r="B8" i="3"/>
  <c r="C8" i="3"/>
  <c r="D8" i="3"/>
  <c r="E8" i="3"/>
  <c r="F8" i="3"/>
  <c r="G8" i="3"/>
  <c r="H8" i="3"/>
  <c r="A9" i="3"/>
  <c r="B9" i="3"/>
  <c r="C9" i="3"/>
  <c r="D9" i="3"/>
  <c r="E9" i="3"/>
  <c r="F9" i="3"/>
  <c r="G9" i="3"/>
  <c r="H9" i="3"/>
  <c r="A10" i="3"/>
  <c r="B10" i="3"/>
  <c r="C10" i="3"/>
  <c r="D10" i="3"/>
  <c r="E10" i="3"/>
  <c r="F10" i="3"/>
  <c r="G10" i="3"/>
  <c r="H10" i="3"/>
  <c r="A11" i="3"/>
  <c r="B11" i="3"/>
  <c r="C11" i="3"/>
  <c r="D11" i="3"/>
  <c r="E11" i="3"/>
  <c r="F11" i="3"/>
  <c r="G11" i="3"/>
  <c r="H11" i="3"/>
  <c r="A12" i="3"/>
  <c r="B12" i="3"/>
  <c r="C12" i="3"/>
  <c r="D12" i="3"/>
  <c r="E12" i="3"/>
  <c r="F12" i="3"/>
  <c r="G12" i="3"/>
  <c r="H12" i="3"/>
  <c r="A13" i="3"/>
  <c r="B13" i="3"/>
  <c r="C13" i="3"/>
  <c r="D13" i="3"/>
  <c r="E13" i="3"/>
  <c r="F13" i="3"/>
  <c r="G13" i="3"/>
  <c r="H13" i="3"/>
  <c r="A14" i="3"/>
  <c r="B14" i="3"/>
  <c r="C14" i="3"/>
  <c r="D14" i="3"/>
  <c r="E14" i="3"/>
  <c r="F14" i="3"/>
  <c r="G14" i="3"/>
  <c r="H14" i="3"/>
  <c r="A15" i="3"/>
  <c r="B15" i="3"/>
  <c r="C15" i="3"/>
  <c r="D15" i="3"/>
  <c r="E15" i="3"/>
  <c r="F15" i="3"/>
  <c r="G15" i="3"/>
  <c r="H15" i="3"/>
  <c r="A16" i="3"/>
  <c r="B16" i="3"/>
  <c r="C16" i="3"/>
  <c r="D16" i="3"/>
  <c r="E16" i="3"/>
  <c r="F16" i="3"/>
  <c r="G16" i="3"/>
  <c r="H16" i="3"/>
  <c r="A17" i="3"/>
  <c r="B17" i="3"/>
  <c r="C17" i="3"/>
  <c r="D17" i="3"/>
  <c r="E17" i="3"/>
  <c r="F17" i="3"/>
  <c r="G17" i="3"/>
  <c r="H17" i="3"/>
  <c r="A18" i="3"/>
  <c r="B18" i="3"/>
  <c r="C18" i="3"/>
  <c r="D18" i="3"/>
  <c r="E18" i="3"/>
  <c r="F18" i="3"/>
  <c r="G18" i="3"/>
  <c r="H18" i="3"/>
  <c r="A19" i="3"/>
  <c r="B19" i="3"/>
  <c r="C19" i="3"/>
  <c r="D19" i="3"/>
  <c r="E19" i="3"/>
  <c r="F19" i="3"/>
  <c r="G19" i="3"/>
  <c r="H19" i="3"/>
  <c r="B2" i="3"/>
  <c r="F9" i="4"/>
  <c r="F11" i="4"/>
  <c r="F12" i="4"/>
  <c r="F13" i="4"/>
  <c r="F14" i="4"/>
  <c r="A36" i="5" l="1" a="1"/>
  <c r="A36" i="5" s="1"/>
  <c r="K5" i="5"/>
  <c r="I15" i="4"/>
  <c r="H15" i="4"/>
  <c r="E15" i="4"/>
  <c r="D15" i="4"/>
  <c r="C15" i="4"/>
  <c r="G15" i="4"/>
  <c r="B15" i="4"/>
  <c r="F10" i="4"/>
  <c r="F8" i="4"/>
  <c r="F7" i="4"/>
  <c r="F6" i="4"/>
  <c r="F5" i="4"/>
  <c r="F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<sst xmlns="http://schemas.openxmlformats.org/spreadsheetml/2006/main" count="323" uniqueCount="172">
  <si>
    <t>EMPLOYEE TASK MANAGEMENT DASHBOARD</t>
  </si>
  <si>
    <t>Total Employees</t>
  </si>
  <si>
    <t>Total Tasks</t>
  </si>
  <si>
    <t>Completed Tasks</t>
  </si>
  <si>
    <t>In Progress</t>
  </si>
  <si>
    <t>Pending Tasks</t>
  </si>
  <si>
    <t>Delayed Tasks</t>
  </si>
  <si>
    <t>Status</t>
  </si>
  <si>
    <t>Count</t>
  </si>
  <si>
    <t>Priority</t>
  </si>
  <si>
    <t>To Do</t>
  </si>
  <si>
    <t>Critical</t>
  </si>
  <si>
    <t>High</t>
  </si>
  <si>
    <t>Overall Completion Rate</t>
  </si>
  <si>
    <t>On Hold</t>
  </si>
  <si>
    <t>Medium</t>
  </si>
  <si>
    <t>Completed</t>
  </si>
  <si>
    <t>Low</t>
  </si>
  <si>
    <t>Cancelled</t>
  </si>
  <si>
    <t>Employee</t>
  </si>
  <si>
    <t>Total</t>
  </si>
  <si>
    <t>Week</t>
  </si>
  <si>
    <t>Tasks Due</t>
  </si>
  <si>
    <t>John</t>
  </si>
  <si>
    <t>Week 30</t>
  </si>
  <si>
    <t>Emily</t>
  </si>
  <si>
    <t>Week 31</t>
  </si>
  <si>
    <t>Michael</t>
  </si>
  <si>
    <t>Week 32</t>
  </si>
  <si>
    <t>Sarah</t>
  </si>
  <si>
    <t>Week 33</t>
  </si>
  <si>
    <t>David</t>
  </si>
  <si>
    <t>Week 34</t>
  </si>
  <si>
    <t>Jessica</t>
  </si>
  <si>
    <t>Week 35</t>
  </si>
  <si>
    <t>Robert</t>
  </si>
  <si>
    <t>Lisa</t>
  </si>
  <si>
    <t>James</t>
  </si>
  <si>
    <t>Amanda</t>
  </si>
  <si>
    <t>⚠️ OVERDUE TASKS</t>
  </si>
  <si>
    <t>Task ID</t>
  </si>
  <si>
    <t>Task Title</t>
  </si>
  <si>
    <t>Due Date</t>
  </si>
  <si>
    <t>Days Overdue</t>
  </si>
  <si>
    <t>Employee ID</t>
  </si>
  <si>
    <t>Employee Name</t>
  </si>
  <si>
    <t>Department</t>
  </si>
  <si>
    <t>Designation</t>
  </si>
  <si>
    <t>Manager</t>
  </si>
  <si>
    <t>Email</t>
  </si>
  <si>
    <t>Joining Date</t>
  </si>
  <si>
    <t>Employment Status</t>
  </si>
  <si>
    <t>EMP001</t>
  </si>
  <si>
    <t>John Smith</t>
  </si>
  <si>
    <t>Engineering</t>
  </si>
  <si>
    <t>Senior Developer</t>
  </si>
  <si>
    <t>Sarah Johnson</t>
  </si>
  <si>
    <t>john.smith@company.com</t>
  </si>
  <si>
    <t>Active</t>
  </si>
  <si>
    <t>EMP002</t>
  </si>
  <si>
    <t>Emily Davis</t>
  </si>
  <si>
    <t>Developer</t>
  </si>
  <si>
    <t>emily.davis@company.com</t>
  </si>
  <si>
    <t>EMP003</t>
  </si>
  <si>
    <t>Michael Brown</t>
  </si>
  <si>
    <t>Marketing</t>
  </si>
  <si>
    <t>Marketing Manager</t>
  </si>
  <si>
    <t>David Wilson</t>
  </si>
  <si>
    <t>michael.brown@company.com</t>
  </si>
  <si>
    <t>EMP004</t>
  </si>
  <si>
    <t>Engineering Lead</t>
  </si>
  <si>
    <t>sarah.johnson@company.com</t>
  </si>
  <si>
    <t>EMP005</t>
  </si>
  <si>
    <t>Management</t>
  </si>
  <si>
    <t>Director</t>
  </si>
  <si>
    <t>david.wilson@company.com</t>
  </si>
  <si>
    <t>EMP006</t>
  </si>
  <si>
    <t>Jessica Lee</t>
  </si>
  <si>
    <t>HR</t>
  </si>
  <si>
    <t>HR Manager</t>
  </si>
  <si>
    <t>jessica.lee@company.com</t>
  </si>
  <si>
    <t>EMP007</t>
  </si>
  <si>
    <t>Robert Taylor</t>
  </si>
  <si>
    <t>Finance</t>
  </si>
  <si>
    <t>Financial Analyst</t>
  </si>
  <si>
    <t>Lisa Anderson</t>
  </si>
  <si>
    <t>robert.taylor@company.com</t>
  </si>
  <si>
    <t>EMP008</t>
  </si>
  <si>
    <t>Finance Manager</t>
  </si>
  <si>
    <t>lisa.anderson@company.com</t>
  </si>
  <si>
    <t>EMP009</t>
  </si>
  <si>
    <t>James Martinez</t>
  </si>
  <si>
    <t>Marketing Specialist</t>
  </si>
  <si>
    <t>james.martinez@company.com</t>
  </si>
  <si>
    <t>EMP010</t>
  </si>
  <si>
    <t>Amanda White</t>
  </si>
  <si>
    <t>QA Engineer</t>
  </si>
  <si>
    <t>amanda.white@company.com</t>
  </si>
  <si>
    <t>Task Description</t>
  </si>
  <si>
    <t>Assigned Date</t>
  </si>
  <si>
    <t>Start Date</t>
  </si>
  <si>
    <t>Completed Date</t>
  </si>
  <si>
    <t>Progress %</t>
  </si>
  <si>
    <t>Estimated Hours</t>
  </si>
  <si>
    <t>Actual Hours</t>
  </si>
  <si>
    <t>Assigned By</t>
  </si>
  <si>
    <t>Dependency</t>
  </si>
  <si>
    <t>Remarks</t>
  </si>
  <si>
    <t>Days Remaining</t>
  </si>
  <si>
    <t>Delay Status</t>
  </si>
  <si>
    <t>TSK001</t>
  </si>
  <si>
    <t>API Development</t>
  </si>
  <si>
    <t>Develop REST API endpoints for user module</t>
  </si>
  <si>
    <t>On track</t>
  </si>
  <si>
    <t>TSK002</t>
  </si>
  <si>
    <t>Bug Fixes</t>
  </si>
  <si>
    <t>Fix critical bugs in payment module</t>
  </si>
  <si>
    <t>High priority</t>
  </si>
  <si>
    <t>TSK003</t>
  </si>
  <si>
    <t>Campaign Planning</t>
  </si>
  <si>
    <t>Q3 marketing campaign strategy</t>
  </si>
  <si>
    <t>TSK004</t>
  </si>
  <si>
    <t>Architecture Review</t>
  </si>
  <si>
    <t>Review system architecture for scalability</t>
  </si>
  <si>
    <t>Completed early</t>
  </si>
  <si>
    <t>TSK005</t>
  </si>
  <si>
    <t>Budget Review</t>
  </si>
  <si>
    <t>Q3 budget review and approval</t>
  </si>
  <si>
    <t>TSK006</t>
  </si>
  <si>
    <t>Recruitment Drive</t>
  </si>
  <si>
    <t>Hire 5 new developers</t>
  </si>
  <si>
    <t>TSK007</t>
  </si>
  <si>
    <t>Financial Report</t>
  </si>
  <si>
    <t>Prepare monthly financial report</t>
  </si>
  <si>
    <t>Not started</t>
  </si>
  <si>
    <t>TSK008</t>
  </si>
  <si>
    <t>Audit Preparation</t>
  </si>
  <si>
    <t>Prepare documents for annual audit</t>
  </si>
  <si>
    <t>TSK009</t>
  </si>
  <si>
    <t>Social Media</t>
  </si>
  <si>
    <t>Execute social media campaign</t>
  </si>
  <si>
    <t>Waiting for campaign approval</t>
  </si>
  <si>
    <t>TSK010</t>
  </si>
  <si>
    <t>Test Automation</t>
  </si>
  <si>
    <t>Create automated test suite</t>
  </si>
  <si>
    <t>TSK011</t>
  </si>
  <si>
    <t>Code Review</t>
  </si>
  <si>
    <t>Review code for new features</t>
  </si>
  <si>
    <t>TSK012</t>
  </si>
  <si>
    <t>Documentation</t>
  </si>
  <si>
    <t>Update API documentation</t>
  </si>
  <si>
    <t>Waiting for API completion</t>
  </si>
  <si>
    <t>TSK013</t>
  </si>
  <si>
    <t>Competitor Analysis</t>
  </si>
  <si>
    <t>Analyze competitor marketing strategies</t>
  </si>
  <si>
    <t>Completed with delay</t>
  </si>
  <si>
    <t>TSK014</t>
  </si>
  <si>
    <t>Team Training</t>
  </si>
  <si>
    <t>Conduct training on new tools</t>
  </si>
  <si>
    <t>TSK015</t>
  </si>
  <si>
    <t>Policy Update</t>
  </si>
  <si>
    <t>Update employee handbook</t>
  </si>
  <si>
    <t>Weekly Task View</t>
  </si>
  <si>
    <t>Current Week:</t>
  </si>
  <si>
    <t>Est. Hours</t>
  </si>
  <si>
    <t>Monthly Employee Performance Summary</t>
  </si>
  <si>
    <t>Report Month:</t>
  </si>
  <si>
    <t>In Progress Tasks</t>
  </si>
  <si>
    <t>Completion Rate %</t>
  </si>
  <si>
    <t>Total Est. Hours</t>
  </si>
  <si>
    <t>Total Actual Hours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</si>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</sst>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rgb="FF1F4E79"/>
      <name val="Calibri"/>
      <family val="2"/>
      <scheme val="minor"/>
    </font>
    <font>
      <b/>
      <sz val="24"/>
      <color rgb="FF28A745"/>
      <name val="Calibri"/>
      <family val="2"/>
      <scheme val="minor"/>
    </font>
    <font>
      <b/>
      <sz val="24"/>
      <color rgb="FF17A2B8"/>
      <name val="Calibri"/>
      <family val="2"/>
      <scheme val="minor"/>
    </font>
    <font>
      <b/>
      <sz val="24"/>
      <color rgb="FFFFC107"/>
      <name val="Calibri"/>
      <family val="2"/>
      <scheme val="minor"/>
    </font>
    <font>
      <b/>
      <sz val="24"/>
      <color rgb="FFDC3545"/>
      <name val="Calibri"/>
      <family val="2"/>
      <scheme val="minor"/>
    </font>
    <font>
      <b/>
      <sz val="28"/>
      <color rgb="FF1F4E79"/>
      <name val="Calibri"/>
      <family val="2"/>
      <scheme val="minor"/>
    </font>
    <font>
      <b/>
      <sz val="14"/>
      <color rgb="FFDC354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1F4E79"/>
      </bottom>
      <diagonal/>
    </border>
    <border>
      <left style="thin">
        <color auto="1"/>
      </left>
      <right style="thin">
        <color auto="1"/>
      </right>
      <top/>
      <bottom style="thin">
        <color rgb="FF1F4E79"/>
      </bottom>
      <diagonal/>
    </border>
    <border>
      <left style="thin">
        <color auto="1"/>
      </left>
      <right style="thin">
        <color auto="1"/>
      </right>
      <top/>
      <bottom style="thin">
        <color rgb="FF28A745"/>
      </bottom>
      <diagonal/>
    </border>
    <border>
      <left style="thin">
        <color auto="1"/>
      </left>
      <right style="thin">
        <color auto="1"/>
      </right>
      <top/>
      <bottom style="thin">
        <color rgb="FF17A2B8"/>
      </bottom>
      <diagonal/>
    </border>
    <border>
      <left style="thin">
        <color auto="1"/>
      </left>
      <right style="thin">
        <color auto="1"/>
      </right>
      <top/>
      <bottom style="thin">
        <color rgb="FFFFC107"/>
      </bottom>
      <diagonal/>
    </border>
    <border>
      <left style="thin">
        <color auto="1"/>
      </left>
      <right style="thin">
        <color auto="1"/>
      </right>
      <top/>
      <bottom style="thin">
        <color rgb="FFDC35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9" fontId="3" fillId="3" borderId="0" xfId="0" applyNumberFormat="1" applyFont="1" applyFill="1"/>
    <xf numFmtId="165" fontId="3" fillId="3" borderId="0" xfId="0" applyNumberFormat="1" applyFont="1" applyFill="1"/>
    <xf numFmtId="0" fontId="0" fillId="9" borderId="0" xfId="0" applyFill="1"/>
    <xf numFmtId="0" fontId="1" fillId="9" borderId="0" xfId="0" applyFont="1" applyFill="1"/>
    <xf numFmtId="164" fontId="0" fillId="9" borderId="0" xfId="0" applyNumberFormat="1" applyFill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9" fontId="12" fillId="4" borderId="3" xfId="0" applyNumberFormat="1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0" xfId="0" applyFill="1" applyAlignment="1"/>
    <xf numFmtId="0" fontId="13" fillId="9" borderId="0" xfId="0" applyFont="1" applyFill="1" applyAlignment="1"/>
  </cellXfs>
  <cellStyles count="1">
    <cellStyle name="Normal" xfId="0" builtinId="0"/>
  </cellStyles>
  <dxfs count="32">
    <dxf>
      <numFmt numFmtId="165" formatCode="0.0"/>
    </dxf>
    <dxf>
      <numFmt numFmtId="165" formatCode="0.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numFmt numFmtId="164" formatCode="yyyy\-mm\-dd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numFmt numFmtId="0" formatCode="General"/>
    </dxf>
    <dxf>
      <numFmt numFmtId="0" formatCode="General"/>
    </dxf>
    <dxf>
      <numFmt numFmtId="165" formatCode="0.0"/>
    </dxf>
    <dxf>
      <numFmt numFmtId="165" formatCode="0.0"/>
    </dxf>
    <dxf>
      <numFmt numFmtId="13" formatCode="0%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  <dxf>
      <font>
        <color rgb="FFFFFFFF"/>
      </font>
      <fill>
        <patternFill patternType="solid">
          <fgColor indexed="64"/>
          <bgColor rgb="FF17A2B8"/>
        </patternFill>
      </fill>
    </dxf>
    <dxf>
      <font>
        <color rgb="FFFFFFFF"/>
      </font>
      <fill>
        <patternFill patternType="solid">
          <fgColor indexed="64"/>
          <bgColor rgb="FF28A745"/>
        </patternFill>
      </fill>
    </dxf>
    <dxf>
      <font>
        <b/>
        <i val="0"/>
      </font>
      <fill>
        <patternFill patternType="solid">
          <fgColor indexed="64"/>
          <bgColor rgb="FFFFC107"/>
        </patternFill>
      </fill>
    </dxf>
    <dxf>
      <font>
        <b/>
        <i val="0"/>
        <color rgb="FFFFFFFF"/>
      </font>
      <fill>
        <patternFill patternType="solid">
          <fgColor indexed="64"/>
          <bgColor rgb="FFDC3545"/>
        </patternFill>
      </fill>
    </dxf>
    <dxf>
      <font>
        <color rgb="FFFFFFFF"/>
      </font>
      <fill>
        <patternFill patternType="solid">
          <fgColor indexed="64"/>
          <bgColor rgb="FF343A40"/>
        </patternFill>
      </fill>
    </dxf>
    <dxf>
      <font>
        <color rgb="FFFFFFFF"/>
      </font>
      <fill>
        <patternFill patternType="solid">
          <fgColor indexed="64"/>
          <bgColor rgb="FF9B59B6"/>
        </patternFill>
      </fill>
    </dxf>
    <dxf>
      <font>
        <color rgb="FFFFFFFF"/>
      </font>
      <fill>
        <patternFill patternType="solid">
          <fgColor indexed="64"/>
          <bgColor rgb="FF6C757D"/>
        </patternFill>
      </fill>
    </dxf>
    <dxf>
      <font>
        <color rgb="FFFFFFFF"/>
      </font>
      <fill>
        <patternFill patternType="solid">
          <fgColor indexed="64"/>
          <bgColor rgb="FF17A2B8"/>
        </patternFill>
      </fill>
    </dxf>
    <dxf>
      <font>
        <color rgb="FFFFFFFF"/>
      </font>
      <fill>
        <patternFill patternType="solid">
          <fgColor indexed="64"/>
          <bgColor rgb="FF28A745"/>
        </patternFill>
      </fill>
    </dxf>
    <dxf>
      <fill>
        <patternFill patternType="solid">
          <fgColor indexed="64"/>
          <bgColor rgb="FF6BCB77"/>
        </patternFill>
      </fill>
    </dxf>
    <dxf>
      <fill>
        <patternFill patternType="solid">
          <fgColor indexed="64"/>
          <bgColor rgb="FFFFD93D"/>
        </patternFill>
      </fill>
    </dxf>
    <dxf>
      <fill>
        <patternFill patternType="solid">
          <fgColor indexed="64"/>
          <bgColor rgb="FFFFA500"/>
        </patternFill>
      </fill>
    </dxf>
    <dxf>
      <font>
        <b/>
        <i val="0"/>
      </font>
      <fill>
        <patternFill patternType="solid">
          <fgColor indexed="64"/>
          <bgColor rgb="FFFF6B6B"/>
        </patternFill>
      </fill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Dashboard!$O$4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17-45FA-B92C-C7F1F83CC8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17-45FA-B92C-C7F1F83CC8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17-45FA-B92C-C7F1F83CC8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17-45FA-B92C-C7F1F83CC8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17-45FA-B92C-C7F1F83CC8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Dashboard!$N$5:$N$9</c:f>
              <c:strCache>
                <c:ptCount val="5"/>
                <c:pt idx="0">
                  <c:v>To Do</c:v>
                </c:pt>
                <c:pt idx="1">
                  <c:v>In Progress</c:v>
                </c:pt>
                <c:pt idx="2">
                  <c:v>On Hold</c:v>
                </c:pt>
                <c:pt idx="3">
                  <c:v>Completed</c:v>
                </c:pt>
                <c:pt idx="4">
                  <c:v>Cancelled</c:v>
                </c:pt>
              </c:strCache>
            </c:strRef>
          </c:cat>
          <c:val>
            <c:numRef>
              <c:f>Dashboard!$O$5:$O$9</c:f>
              <c:numCache>
                <c:formatCode>General</c:formatCode>
                <c:ptCount val="5"/>
                <c:pt idx="0">
                  <c:v>3</c:v>
                </c:pt>
                <c:pt idx="1">
                  <c:v>9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B-4301-AA1C-2CCA83868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Dashboard!$R$4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09-439B-B9D2-5018F62A0A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09-439B-B9D2-5018F62A0A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09-439B-B9D2-5018F62A0A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09-439B-B9D2-5018F62A0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Dashboard!$Q$5:$Q$8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Dashboard!$R$5:$R$8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497A-8EAF-744BCD55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Task Completion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Dashboard!$N$13:$N$22</c:f>
              <c:strCache>
                <c:ptCount val="10"/>
                <c:pt idx="0">
                  <c:v>John</c:v>
                </c:pt>
                <c:pt idx="1">
                  <c:v>Emily</c:v>
                </c:pt>
                <c:pt idx="2">
                  <c:v>Michael</c:v>
                </c:pt>
                <c:pt idx="3">
                  <c:v>Sarah</c:v>
                </c:pt>
                <c:pt idx="4">
                  <c:v>David</c:v>
                </c:pt>
                <c:pt idx="5">
                  <c:v>Jessica</c:v>
                </c:pt>
                <c:pt idx="6">
                  <c:v>Robert</c:v>
                </c:pt>
                <c:pt idx="7">
                  <c:v>Lisa</c:v>
                </c:pt>
                <c:pt idx="8">
                  <c:v>James</c:v>
                </c:pt>
                <c:pt idx="9">
                  <c:v>Amanda</c:v>
                </c:pt>
              </c:strCache>
            </c:strRef>
          </c:cat>
          <c:val>
            <c:numRef>
              <c:f>Dashboard!$O$13:$O$22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4-42FA-B1F7-BE1CDE1A13E9}"/>
            </c:ext>
          </c:extLst>
        </c:ser>
        <c:ser>
          <c:idx val="1"/>
          <c:order val="1"/>
          <c:tx>
            <c:strRef>
              <c:f>Dashboard!$P$12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Dashboard!$N$13:$N$22</c:f>
              <c:strCache>
                <c:ptCount val="10"/>
                <c:pt idx="0">
                  <c:v>John</c:v>
                </c:pt>
                <c:pt idx="1">
                  <c:v>Emily</c:v>
                </c:pt>
                <c:pt idx="2">
                  <c:v>Michael</c:v>
                </c:pt>
                <c:pt idx="3">
                  <c:v>Sarah</c:v>
                </c:pt>
                <c:pt idx="4">
                  <c:v>David</c:v>
                </c:pt>
                <c:pt idx="5">
                  <c:v>Jessica</c:v>
                </c:pt>
                <c:pt idx="6">
                  <c:v>Robert</c:v>
                </c:pt>
                <c:pt idx="7">
                  <c:v>Lisa</c:v>
                </c:pt>
                <c:pt idx="8">
                  <c:v>James</c:v>
                </c:pt>
                <c:pt idx="9">
                  <c:v>Amanda</c:v>
                </c:pt>
              </c:strCache>
            </c:strRef>
          </c:cat>
          <c:val>
            <c:numRef>
              <c:f>Dashboard!$P$13:$P$22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F4-42FA-B1F7-BE1CDE1A1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6545543"/>
        <c:axId val="1796547591"/>
      </c:barChart>
      <c:catAx>
        <c:axId val="1796545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547591"/>
        <c:crosses val="autoZero"/>
        <c:auto val="1"/>
        <c:lblAlgn val="ctr"/>
        <c:lblOffset val="100"/>
        <c:noMultiLvlLbl val="0"/>
      </c:catAx>
      <c:valAx>
        <c:axId val="1796547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545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Task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Dashboard!$S$12</c:f>
              <c:strCache>
                <c:ptCount val="1"/>
                <c:pt idx="0">
                  <c:v>Tasks Due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Dashboard!$R$13:$R$18</c:f>
              <c:strCache>
                <c:ptCount val="6"/>
                <c:pt idx="0">
                  <c:v>Week 30</c:v>
                </c:pt>
                <c:pt idx="1">
                  <c:v>Week 31</c:v>
                </c:pt>
                <c:pt idx="2">
                  <c:v>Week 32</c:v>
                </c:pt>
                <c:pt idx="3">
                  <c:v>Week 33</c:v>
                </c:pt>
                <c:pt idx="4">
                  <c:v>Week 34</c:v>
                </c:pt>
                <c:pt idx="5">
                  <c:v>Week 35</c:v>
                </c:pt>
              </c:strCache>
            </c:strRef>
          </c:cat>
          <c:val>
            <c:numRef>
              <c:f>Dashboard!$S$13:$S$18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B-49AD-900A-C8BD8B5FD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674376"/>
        <c:axId val="279692808"/>
      </c:lineChart>
      <c:catAx>
        <c:axId val="27967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92808"/>
        <c:crosses val="autoZero"/>
        <c:auto val="1"/>
        <c:lblAlgn val="ctr"/>
        <c:lblOffset val="100"/>
        <c:noMultiLvlLbl val="0"/>
      </c:catAx>
      <c:valAx>
        <c:axId val="27969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74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193A2-A923-846A-F0B6-D686CC1CB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EB5CC9-2BE2-8368-416E-C9DFF0C9C538}"/>
            </a:ext>
            <a:ext uri="{147F2762-F138-4A5C-976F-8EAC2B608ADB}">
              <a16:predDERef xmlns:a16="http://schemas.microsoft.com/office/drawing/2014/main" pred="{067193A2-A923-846A-F0B6-D686CC1CB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FACE50-C708-F960-C7E6-943157BE628A}"/>
            </a:ext>
            <a:ext uri="{147F2762-F138-4A5C-976F-8EAC2B608ADB}">
              <a16:predDERef xmlns:a16="http://schemas.microsoft.com/office/drawing/2014/main" pred="{54EB5CC9-2BE2-8368-416E-C9DFF0C9C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4FDAAC-8FC1-FBBE-1D96-66BC76151B84}"/>
            </a:ext>
            <a:ext uri="{147F2762-F138-4A5C-976F-8EAC2B608ADB}">
              <a16:predDERef xmlns:a16="http://schemas.microsoft.com/office/drawing/2014/main" pred="{B7FACE50-C708-F960-C7E6-943157BE6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53771-A01B-49A6-AC6D-1DC1AD73FB31}" name="EmployeeTable" displayName="EmployeeTable" ref="A1:H11" totalsRowShown="0" headerRowDxfId="31">
  <autoFilter ref="A1:H11" xr:uid="{B2653771-A01B-49A6-AC6D-1DC1AD73FB31}"/>
  <tableColumns count="8">
    <tableColumn id="1" xr3:uid="{EB04442C-0324-41C3-8FEC-CC3F1393A088}" name="Employee ID"/>
    <tableColumn id="2" xr3:uid="{CFA82694-3219-48F0-9E80-0EDAED3A91F3}" name="Employee Name"/>
    <tableColumn id="3" xr3:uid="{E7A82F72-7E81-4370-94F8-C943DCF64247}" name="Department"/>
    <tableColumn id="4" xr3:uid="{1234F65E-B27B-4CAE-AE9A-4F8734E137FE}" name="Designation"/>
    <tableColumn id="5" xr3:uid="{F324DF55-DB93-43E3-8C59-F27FCA16F291}" name="Manager"/>
    <tableColumn id="6" xr3:uid="{07CB9565-5141-4425-BFBC-C1F62A9E0D88}" name="Email"/>
    <tableColumn id="7" xr3:uid="{1FC3DB42-8DF6-4E39-BD3E-260D9F47466B}" name="Joining Date" dataDxfId="30"/>
    <tableColumn id="8" xr3:uid="{8FCD6CED-86E3-4A79-922B-C5E51458F952}" name="Employmen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B73763-673C-423A-90DF-22B8CEB14D1B}" name="TaskTable" displayName="TaskTable" ref="A1:T16" totalsRowShown="0" headerRowDxfId="16">
  <autoFilter ref="A1:T16" xr:uid="{FEB73763-673C-423A-90DF-22B8CEB14D1B}"/>
  <tableColumns count="20">
    <tableColumn id="1" xr3:uid="{35B395BA-CED3-4456-8350-269E2203B695}" name="Task ID"/>
    <tableColumn id="2" xr3:uid="{6FDC535B-0EA0-44F3-B027-C4699CB4614D}" name="Employee ID"/>
    <tableColumn id="3" xr3:uid="{DB0A243B-A595-4567-B6EE-8D393E836A12}" name="Employee Name"/>
    <tableColumn id="4" xr3:uid="{12A3F7A0-02B3-4E61-94CF-11C2CAB193FD}" name="Department"/>
    <tableColumn id="5" xr3:uid="{32FF3FB3-5454-420A-A7EA-B5E259E05350}" name="Task Title"/>
    <tableColumn id="6" xr3:uid="{753F6CFD-A8DA-421D-B2D7-0176CB2C6CE4}" name="Task Description"/>
    <tableColumn id="7" xr3:uid="{E29DC007-44F5-4D65-8F0F-C908BB8500A2}" name="Priority"/>
    <tableColumn id="8" xr3:uid="{D79435A6-22FB-45DB-AFC4-294458B66C68}" name="Assigned Date" dataDxfId="15"/>
    <tableColumn id="9" xr3:uid="{3DC3F416-B1F8-4B1A-B764-A0F244D4B9FB}" name="Start Date" dataDxfId="14"/>
    <tableColumn id="10" xr3:uid="{57C75D29-9D0C-4387-A0A6-7D16A0D2B5CC}" name="Due Date" dataDxfId="13"/>
    <tableColumn id="11" xr3:uid="{AF0A6DAE-910E-4AA7-A0E4-E1A713E029B1}" name="Completed Date" dataDxfId="12"/>
    <tableColumn id="12" xr3:uid="{C3FA734C-BAEF-44C2-BDB2-75022F19F7FE}" name="Status"/>
    <tableColumn id="13" xr3:uid="{D4E426C6-59B4-43B8-B1E0-4DB52C6076DF}" name="Progress %" dataDxfId="11"/>
    <tableColumn id="14" xr3:uid="{960F38F4-4D83-4EC1-AFFC-A50C21ED687B}" name="Estimated Hours" dataDxfId="10"/>
    <tableColumn id="15" xr3:uid="{3E4D61A3-05A4-4FD0-8C77-B90B2FB09D96}" name="Actual Hours" dataDxfId="9"/>
    <tableColumn id="16" xr3:uid="{A132B7CD-C534-4F5C-A305-4B20108017F1}" name="Assigned By"/>
    <tableColumn id="17" xr3:uid="{69B8D567-C2C2-418F-BB71-9D2B94D70B51}" name="Dependency"/>
    <tableColumn id="18" xr3:uid="{EB83116F-2250-4974-A7D1-FF2542039885}" name="Remarks"/>
    <tableColumn id="19" xr3:uid="{270AA356-9B5A-4473-9365-852C170DD899}" name="Days Remaining" dataDxfId="8">
      <calculatedColumnFormula>IF(OR(TaskTable[[#This Row],[Status]]="Completed",TaskTable[[#This Row],[Status]]="Cancelled"),0,IF(TaskTable[[#This Row],[Due Date]]="","",MAX(0,TaskTable[[#This Row],[Due Date]]-TODAY())))</calculatedColumnFormula>
    </tableColumn>
    <tableColumn id="20" xr3:uid="{88FDB33B-4B78-4C8C-A197-892FFA840815}" name="Delay Status" dataDxfId="7">
      <calculatedColumnFormula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73CF33-6CFF-44B6-9F0F-D43C552D9DE2}" name="WeeklyTaskTable" displayName="WeeklyTaskTable" ref="A4:H19" totalsRowShown="0" headerRowDxfId="6">
  <autoFilter ref="A4:H19" xr:uid="{9473CF33-6CFF-44B6-9F0F-D43C552D9DE2}"/>
  <tableColumns count="8">
    <tableColumn id="1" xr3:uid="{81E5F62D-DA2E-4FBE-8CD8-6DF07720F092}" name="Week">
      <calculatedColumnFormula>IFERROR(WEEKNUM('Task Management'!J2),"")</calculatedColumnFormula>
    </tableColumn>
    <tableColumn id="2" xr3:uid="{0363FE1B-BA94-43C5-9E3A-4C9AC6F6D2B7}" name="Employee Name">
      <calculatedColumnFormula>IFERROR('Task Management'!C2,"")</calculatedColumnFormula>
    </tableColumn>
    <tableColumn id="3" xr3:uid="{A2FEF0A6-8B57-4F8B-9F79-CF8334432501}" name="Task Title">
      <calculatedColumnFormula>IFERROR('Task Management'!E2,"")</calculatedColumnFormula>
    </tableColumn>
    <tableColumn id="4" xr3:uid="{46499D97-0AA9-41D3-8A3C-136ADF58332E}" name="Priority">
      <calculatedColumnFormula>IFERROR('Task Management'!G2,"")</calculatedColumnFormula>
    </tableColumn>
    <tableColumn id="5" xr3:uid="{42DCCF8F-F73F-439C-B56B-08A24C95AB09}" name="Status">
      <calculatedColumnFormula>IFERROR('Task Management'!L2,"")</calculatedColumnFormula>
    </tableColumn>
    <tableColumn id="6" xr3:uid="{E61729A1-854A-436A-89B4-1F64FB3E3EBE}" name="Progress %" dataDxfId="5">
      <calculatedColumnFormula>IFERROR('Task Management'!M2,"")</calculatedColumnFormula>
    </tableColumn>
    <tableColumn id="7" xr3:uid="{376B3E1A-F708-486C-B981-E1736A22AAEC}" name="Due Date" dataDxfId="4">
      <calculatedColumnFormula>IFERROR('Task Management'!J2,"")</calculatedColumnFormula>
    </tableColumn>
    <tableColumn id="8" xr3:uid="{50A5E9FD-6988-47BC-BD39-0357341E43AE}" name="Est. Hours">
      <calculatedColumnFormula>IFERROR('Task Management'!N2,"")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21D28-5A3C-4EB8-8C29-3E7A32FCA0C9}" name="MonthlySummaryTable" displayName="MonthlySummaryTable" ref="A4:I15" totalsRowShown="0" headerRowDxfId="3">
  <autoFilter ref="A4:I15" xr:uid="{A8621D28-5A3C-4EB8-8C29-3E7A32FCA0C9}"/>
  <tableColumns count="9">
    <tableColumn id="1" xr3:uid="{CEA06846-2442-4148-B52F-D5B761474687}" name="Employee Name"/>
    <tableColumn id="2" xr3:uid="{0340570D-0DD9-4D3E-980E-2D34427DD78D}" name="Total Tasks"/>
    <tableColumn id="3" xr3:uid="{932680C2-8E97-40C5-ABA2-9AEABC0FA60B}" name="Completed Tasks"/>
    <tableColumn id="4" xr3:uid="{B3EED227-D9D6-40F0-BE19-C13DAF4B5456}" name="In Progress Tasks"/>
    <tableColumn id="5" xr3:uid="{4EC88803-D181-4B32-A433-126060A60490}" name="Pending Tasks"/>
    <tableColumn id="6" xr3:uid="{60FE5D80-6A38-4088-9047-9A4A16C85BE7}" name="Delayed Tasks"/>
    <tableColumn id="7" xr3:uid="{0C51B34A-9AED-48D6-91FE-38C3CBF3FBB6}" name="Completion Rate %" dataDxfId="2"/>
    <tableColumn id="8" xr3:uid="{BB5E720C-1A6D-4B7D-B744-9949DD9B148F}" name="Total Est. Hours" dataDxfId="1"/>
    <tableColumn id="9" xr3:uid="{011355BC-050C-49F9-9AA1-5309B27CAEFD}" name="Total Actual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276B-C453-4683-907D-2F9717DFDFDF}">
  <dimension ref="A1:S45"/>
  <sheetViews>
    <sheetView workbookViewId="0"/>
  </sheetViews>
  <sheetFormatPr defaultRowHeight="15"/>
  <cols>
    <col min="1" max="1" width="20.28515625" bestFit="1" customWidth="1"/>
    <col min="2" max="2" width="13" bestFit="1" customWidth="1"/>
    <col min="3" max="3" width="15.42578125" bestFit="1" customWidth="1"/>
    <col min="4" max="4" width="7.7109375" bestFit="1" customWidth="1"/>
    <col min="5" max="5" width="14.42578125" bestFit="1" customWidth="1"/>
    <col min="6" max="6" width="13.7109375" bestFit="1" customWidth="1"/>
    <col min="7" max="7" width="9.7109375" bestFit="1" customWidth="1"/>
    <col min="8" max="8" width="3.85546875" customWidth="1"/>
    <col min="9" max="9" width="12" bestFit="1" customWidth="1"/>
    <col min="10" max="10" width="3.85546875" customWidth="1"/>
    <col min="11" max="11" width="12" bestFit="1" customWidth="1"/>
    <col min="12" max="12" width="3.85546875" customWidth="1"/>
    <col min="14" max="14" width="10.7109375" bestFit="1" customWidth="1"/>
    <col min="15" max="15" width="6.42578125" bestFit="1" customWidth="1"/>
    <col min="16" max="16" width="10.85546875" bestFit="1" customWidth="1"/>
    <col min="17" max="17" width="8.42578125" bestFit="1" customWidth="1"/>
    <col min="18" max="18" width="8.85546875" bestFit="1" customWidth="1"/>
    <col min="19" max="19" width="10" bestFit="1" customWidth="1"/>
  </cols>
  <sheetData>
    <row r="1" spans="1:19" ht="35.25" customHeight="1">
      <c r="A1" s="25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9">
      <c r="A2" s="26" t="str">
        <f ca="1">"Last Updated: "&amp;TEXT(NOW(),"DD-MMM-YYYY HH:MM")</f>
        <v>Last Updated: 11-Aug-2026 01:27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9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9">
      <c r="A4" s="13" t="s">
        <v>1</v>
      </c>
      <c r="B4" s="10"/>
      <c r="C4" s="13" t="s">
        <v>2</v>
      </c>
      <c r="D4" s="10"/>
      <c r="E4" s="14" t="s">
        <v>3</v>
      </c>
      <c r="F4" s="10"/>
      <c r="G4" s="15" t="s">
        <v>4</v>
      </c>
      <c r="H4" s="10"/>
      <c r="I4" s="16" t="s">
        <v>5</v>
      </c>
      <c r="J4" s="10"/>
      <c r="K4" s="17" t="s">
        <v>6</v>
      </c>
      <c r="L4" s="10"/>
      <c r="N4" s="6" t="s">
        <v>7</v>
      </c>
      <c r="O4" s="6" t="s">
        <v>8</v>
      </c>
      <c r="Q4" s="6" t="s">
        <v>9</v>
      </c>
      <c r="R4" s="6" t="s">
        <v>8</v>
      </c>
    </row>
    <row r="5" spans="1:19" ht="31.5">
      <c r="A5" s="18">
        <f>COUNTA(EmployeeTable[Employee ID])</f>
        <v>10</v>
      </c>
      <c r="B5" s="10"/>
      <c r="C5" s="19">
        <f>COUNTA(TaskTable[Task ID])</f>
        <v>15</v>
      </c>
      <c r="D5" s="10"/>
      <c r="E5" s="20">
        <f>COUNTIF(TaskTable[Status],"Completed")</f>
        <v>2</v>
      </c>
      <c r="F5" s="10"/>
      <c r="G5" s="21">
        <f>COUNTIF(TaskTable[Status],"In Progress")</f>
        <v>9</v>
      </c>
      <c r="H5" s="10"/>
      <c r="I5" s="22">
        <f>COUNTIF(TaskTable[Status],"To Do")+COUNTIF(TaskTable[Status],"On Hold")</f>
        <v>4</v>
      </c>
      <c r="J5" s="10"/>
      <c r="K5" s="23">
        <f ca="1">COUNTIF(TaskTable[Delay Status],"Delayed")</f>
        <v>2</v>
      </c>
      <c r="L5" s="10"/>
      <c r="N5" t="s">
        <v>10</v>
      </c>
      <c r="O5">
        <f>COUNTIF(TaskTable[Status],"To Do")</f>
        <v>3</v>
      </c>
      <c r="Q5" t="s">
        <v>11</v>
      </c>
      <c r="R5">
        <f>COUNTIF(TaskTable[Priority],"Critical")</f>
        <v>2</v>
      </c>
    </row>
    <row r="6" spans="1:19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t="s">
        <v>4</v>
      </c>
      <c r="O6">
        <f>COUNTIF(TaskTable[Status],"In Progress")</f>
        <v>9</v>
      </c>
      <c r="Q6" t="s">
        <v>12</v>
      </c>
      <c r="R6">
        <f>COUNTIF(TaskTable[Priority],"High")</f>
        <v>5</v>
      </c>
    </row>
    <row r="7" spans="1:19">
      <c r="A7" s="13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N7" t="s">
        <v>14</v>
      </c>
      <c r="O7">
        <f>COUNTIF(TaskTable[Status],"On Hold")</f>
        <v>1</v>
      </c>
      <c r="Q7" t="s">
        <v>15</v>
      </c>
      <c r="R7">
        <f>COUNTIF(TaskTable[Priority],"Medium")</f>
        <v>5</v>
      </c>
    </row>
    <row r="8" spans="1:19" ht="36">
      <c r="A8" s="24">
        <f>IFERROR(COUNTIF(TaskTable[Status],"Completed")/COUNTA(TaskTable[Task ID]),0)</f>
        <v>0.13333333333333333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N8" t="s">
        <v>16</v>
      </c>
      <c r="O8">
        <f>COUNTIF(TaskTable[Status],"Completed")</f>
        <v>2</v>
      </c>
      <c r="Q8" t="s">
        <v>17</v>
      </c>
      <c r="R8">
        <f>COUNTIF(TaskTable[Priority],"Low")</f>
        <v>3</v>
      </c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N9" t="s">
        <v>18</v>
      </c>
      <c r="O9">
        <f>COUNTIF(TaskTable[Status],"Cancelled")</f>
        <v>0</v>
      </c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N12" s="6" t="s">
        <v>19</v>
      </c>
      <c r="O12" s="6" t="s">
        <v>20</v>
      </c>
      <c r="P12" s="6" t="s">
        <v>16</v>
      </c>
      <c r="R12" s="6" t="s">
        <v>21</v>
      </c>
      <c r="S12" s="6" t="s">
        <v>22</v>
      </c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N13" t="s">
        <v>23</v>
      </c>
      <c r="O13">
        <f>COUNTIF(TaskTable[Employee Name],"John Smith")</f>
        <v>2</v>
      </c>
      <c r="P13">
        <f>COUNTIFS(TaskTable[Employee Name],"John Smith",TaskTable[Status],"Completed")</f>
        <v>0</v>
      </c>
      <c r="R13" t="s">
        <v>24</v>
      </c>
      <c r="S13">
        <f>COUNTIFS(TaskTable[Due Date],"&gt;="&amp;DATE(2026,7,20),TaskTable[Due Date],"&lt;"&amp;DATE(2026,7,27))</f>
        <v>0</v>
      </c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t="s">
        <v>25</v>
      </c>
      <c r="O14">
        <f>COUNTIF(TaskTable[Employee Name],"Emily Davis")</f>
        <v>2</v>
      </c>
      <c r="P14">
        <f>COUNTIFS(TaskTable[Employee Name],"Emily Davis",TaskTable[Status],"Completed")</f>
        <v>0</v>
      </c>
      <c r="R14" t="s">
        <v>26</v>
      </c>
      <c r="S14">
        <f>COUNTIFS(TaskTable[Due Date],"&gt;="&amp;DATE(2026,7,27),TaskTable[Due Date],"&lt;"&amp;DATE(2026,8,3))</f>
        <v>0</v>
      </c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N15" t="s">
        <v>27</v>
      </c>
      <c r="O15">
        <f>COUNTIF(TaskTable[Employee Name],"Michael Brown")</f>
        <v>2</v>
      </c>
      <c r="P15">
        <f>COUNTIFS(TaskTable[Employee Name],"Michael Brown",TaskTable[Status],"Completed")</f>
        <v>1</v>
      </c>
      <c r="R15" t="s">
        <v>28</v>
      </c>
      <c r="S15">
        <f>COUNTIFS(TaskTable[Due Date],"&gt;="&amp;DATE(2026,8,3),TaskTable[Due Date],"&lt;"&amp;DATE(2026,8,10))</f>
        <v>2</v>
      </c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t="s">
        <v>29</v>
      </c>
      <c r="O16">
        <f>COUNTIF(TaskTable[Employee Name],"Sarah Johnson")</f>
        <v>2</v>
      </c>
      <c r="P16">
        <f>COUNTIFS(TaskTable[Employee Name],"Sarah Johnson",TaskTable[Status],"Completed")</f>
        <v>1</v>
      </c>
      <c r="R16" t="s">
        <v>30</v>
      </c>
      <c r="S16">
        <f>COUNTIFS(TaskTable[Due Date],"&gt;="&amp;DATE(2026,8,10),TaskTable[Due Date],"&lt;"&amp;DATE(2026,8,17))</f>
        <v>6</v>
      </c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N17" t="s">
        <v>31</v>
      </c>
      <c r="O17">
        <f>COUNTIF(TaskTable[Employee Name],"David Wilson")</f>
        <v>1</v>
      </c>
      <c r="P17">
        <f>COUNTIFS(TaskTable[Employee Name],"David Wilson",TaskTable[Status],"Completed")</f>
        <v>0</v>
      </c>
      <c r="R17" t="s">
        <v>32</v>
      </c>
      <c r="S17">
        <f>COUNTIFS(TaskTable[Due Date],"&gt;="&amp;DATE(2026,8,17),TaskTable[Due Date],"&lt;"&amp;DATE(2026,8,24))</f>
        <v>4</v>
      </c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N18" t="s">
        <v>33</v>
      </c>
      <c r="O18">
        <f>COUNTIF(TaskTable[Employee Name],"Jessica Lee")</f>
        <v>2</v>
      </c>
      <c r="P18">
        <f>COUNTIFS(TaskTable[Employee Name],"Jessica Lee",TaskTable[Status],"Completed")</f>
        <v>0</v>
      </c>
      <c r="R18" t="s">
        <v>34</v>
      </c>
      <c r="S18">
        <f>COUNTIFS(TaskTable[Due Date],"&gt;="&amp;DATE(2026,8,24),TaskTable[Due Date],"&lt;"&amp;DATE(2026,8,31))</f>
        <v>3</v>
      </c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N19" t="s">
        <v>35</v>
      </c>
      <c r="O19">
        <f>COUNTIF(TaskTable[Employee Name],"Robert Taylor")</f>
        <v>1</v>
      </c>
      <c r="P19">
        <f>COUNTIFS(TaskTable[Employee Name],"Robert Taylor",TaskTable[Status],"Completed")</f>
        <v>0</v>
      </c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N20" t="s">
        <v>36</v>
      </c>
      <c r="O20">
        <f>COUNTIF(TaskTable[Employee Name],"Lisa Anderson")</f>
        <v>1</v>
      </c>
      <c r="P20">
        <f>COUNTIFS(TaskTable[Employee Name],"Lisa Anderson",TaskTable[Status],"Completed")</f>
        <v>0</v>
      </c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N21" t="s">
        <v>37</v>
      </c>
      <c r="O21">
        <f>COUNTIF(TaskTable[Employee Name],"James Martinez")</f>
        <v>1</v>
      </c>
      <c r="P21">
        <f>COUNTIFS(TaskTable[Employee Name],"James Martinez",TaskTable[Status],"Completed")</f>
        <v>0</v>
      </c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N22" t="s">
        <v>38</v>
      </c>
      <c r="O22">
        <f>COUNTIF(TaskTable[Employee Name],"Amanda White")</f>
        <v>1</v>
      </c>
      <c r="P22">
        <f>COUNTIFS(TaskTable[Employee Name],"Amanda White",TaskTable[Status],"Completed")</f>
        <v>0</v>
      </c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9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9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9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9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9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9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9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9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24.75" customHeight="1">
      <c r="A34" s="28" t="s">
        <v>39</v>
      </c>
      <c r="B34" s="27"/>
      <c r="C34" s="27"/>
      <c r="D34" s="27"/>
      <c r="E34" s="27"/>
      <c r="F34" s="27"/>
      <c r="G34" s="10"/>
      <c r="H34" s="10"/>
      <c r="I34" s="10"/>
      <c r="J34" s="10"/>
      <c r="K34" s="10"/>
      <c r="L34" s="10"/>
    </row>
    <row r="35" spans="1:12">
      <c r="A35" s="11" t="s">
        <v>40</v>
      </c>
      <c r="B35" s="11" t="s">
        <v>19</v>
      </c>
      <c r="C35" s="11" t="s">
        <v>41</v>
      </c>
      <c r="D35" s="11" t="s">
        <v>9</v>
      </c>
      <c r="E35" s="11" t="s">
        <v>42</v>
      </c>
      <c r="F35" s="11" t="s">
        <v>43</v>
      </c>
      <c r="G35" s="10"/>
      <c r="H35" s="10"/>
      <c r="I35" s="10"/>
      <c r="J35" s="10"/>
      <c r="K35" s="10"/>
      <c r="L35" s="10"/>
    </row>
    <row r="36" spans="1:12">
      <c r="A36" s="10" t="str" cm="1">
        <f t="array" aca="1" ref="A36:F37" ca="1">IFERROR(_xlfn._xlws.FILTER(_xlfn.HSTACK(TaskTable[Task ID],TaskTable[Employee Name],TaskTable[Task Title],TaskTable[Priority],TaskTable[Due Date],TODAY()-TaskTable[Due Date]),(TaskTable[Delay Status]="Delayed")*(TaskTable[Status]&lt;&gt;"Completed")*(TaskTable[Status]&lt;&gt;"Cancelled"),"No overdue tasks"),"")</f>
        <v>TSK002</v>
      </c>
      <c r="B36" s="10" t="str">
        <f ca="1"/>
        <v>Emily Davis</v>
      </c>
      <c r="C36" s="10" t="str">
        <f ca="1"/>
        <v>Bug Fixes</v>
      </c>
      <c r="D36" s="10" t="str">
        <f ca="1"/>
        <v>Critical</v>
      </c>
      <c r="E36" s="12">
        <f ca="1"/>
        <v>46244</v>
      </c>
      <c r="F36" s="10">
        <f ca="1"/>
        <v>1</v>
      </c>
      <c r="G36" s="10"/>
      <c r="H36" s="10"/>
      <c r="I36" s="10"/>
      <c r="J36" s="10"/>
      <c r="K36" s="10"/>
      <c r="L36" s="10"/>
    </row>
    <row r="37" spans="1:12">
      <c r="A37" s="10" t="str">
        <f ca="1"/>
        <v>TSK007</v>
      </c>
      <c r="B37" s="10" t="str">
        <f ca="1"/>
        <v>Robert Taylor</v>
      </c>
      <c r="C37" s="10" t="str">
        <f ca="1"/>
        <v>Financial Report</v>
      </c>
      <c r="D37" s="10" t="str">
        <f ca="1"/>
        <v>High</v>
      </c>
      <c r="E37" s="12">
        <f ca="1"/>
        <v>46244</v>
      </c>
      <c r="F37" s="10">
        <f ca="1"/>
        <v>1</v>
      </c>
      <c r="G37" s="10"/>
      <c r="H37" s="10"/>
      <c r="I37" s="10"/>
      <c r="J37" s="10"/>
      <c r="K37" s="10"/>
      <c r="L37" s="10"/>
    </row>
    <row r="38" spans="1:12">
      <c r="A38" s="10"/>
      <c r="B38" s="10"/>
      <c r="C38" s="10"/>
      <c r="D38" s="10"/>
      <c r="E38" s="12"/>
      <c r="F38" s="10"/>
      <c r="G38" s="10"/>
      <c r="H38" s="10"/>
      <c r="I38" s="10"/>
      <c r="J38" s="10"/>
      <c r="K38" s="10"/>
      <c r="L38" s="10"/>
    </row>
    <row r="39" spans="1:12">
      <c r="A39" s="10"/>
      <c r="B39" s="10"/>
      <c r="C39" s="10"/>
      <c r="D39" s="10"/>
      <c r="E39" s="12"/>
      <c r="F39" s="10"/>
      <c r="G39" s="10"/>
      <c r="H39" s="10"/>
      <c r="I39" s="10"/>
      <c r="J39" s="10"/>
      <c r="K39" s="10"/>
      <c r="L39" s="10"/>
    </row>
    <row r="40" spans="1:12">
      <c r="A40" s="10"/>
      <c r="B40" s="10"/>
      <c r="C40" s="10"/>
      <c r="D40" s="10"/>
      <c r="E40" s="12"/>
      <c r="F40" s="10"/>
      <c r="G40" s="10"/>
      <c r="H40" s="10"/>
      <c r="I40" s="10"/>
      <c r="J40" s="10"/>
      <c r="K40" s="10"/>
      <c r="L40" s="10"/>
    </row>
    <row r="41" spans="1:12">
      <c r="A41" s="10"/>
      <c r="B41" s="10"/>
      <c r="C41" s="10"/>
      <c r="D41" s="10"/>
      <c r="E41" s="12"/>
      <c r="F41" s="10"/>
      <c r="G41" s="10"/>
      <c r="H41" s="10"/>
      <c r="I41" s="10"/>
      <c r="J41" s="10"/>
      <c r="K41" s="10"/>
      <c r="L41" s="10"/>
    </row>
    <row r="42" spans="1:12">
      <c r="A42" s="10"/>
      <c r="B42" s="10"/>
      <c r="C42" s="10"/>
      <c r="D42" s="10"/>
      <c r="E42" s="12"/>
      <c r="F42" s="10"/>
      <c r="G42" s="10"/>
      <c r="H42" s="10"/>
      <c r="I42" s="10"/>
      <c r="J42" s="10"/>
      <c r="K42" s="10"/>
      <c r="L42" s="10"/>
    </row>
    <row r="43" spans="1:12">
      <c r="A43" s="10"/>
      <c r="B43" s="10"/>
      <c r="C43" s="10"/>
      <c r="D43" s="10"/>
      <c r="E43" s="12"/>
      <c r="F43" s="10"/>
      <c r="G43" s="10"/>
      <c r="H43" s="10"/>
      <c r="I43" s="10"/>
      <c r="J43" s="10"/>
      <c r="K43" s="10"/>
      <c r="L43" s="10"/>
    </row>
    <row r="44" spans="1:12">
      <c r="A44" s="10"/>
      <c r="B44" s="10"/>
      <c r="C44" s="10"/>
      <c r="D44" s="10"/>
      <c r="E44" s="12"/>
      <c r="F44" s="10"/>
      <c r="G44" s="10"/>
      <c r="H44" s="10"/>
      <c r="I44" s="10"/>
      <c r="J44" s="10"/>
      <c r="K44" s="10"/>
      <c r="L44" s="10"/>
    </row>
    <row r="45" spans="1:12">
      <c r="A45" s="10"/>
      <c r="B45" s="10"/>
      <c r="C45" s="10"/>
      <c r="D45" s="10"/>
      <c r="E45" s="12"/>
      <c r="F45" s="10"/>
      <c r="G45" s="10"/>
      <c r="H45" s="10"/>
      <c r="I45" s="10"/>
      <c r="J45" s="10"/>
      <c r="K45" s="10"/>
      <c r="L45" s="10"/>
    </row>
  </sheetData>
  <mergeCells count="3">
    <mergeCell ref="A1:L1"/>
    <mergeCell ref="A2:L2"/>
    <mergeCell ref="A34:F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zoomScaleSheetLayoutView="100" workbookViewId="0">
      <pane ySplit="1" topLeftCell="A2" activePane="bottomLeft" state="frozen"/>
      <selection pane="bottomLeft"/>
    </sheetView>
  </sheetViews>
  <sheetFormatPr defaultRowHeight="15"/>
  <cols>
    <col min="1" max="1" width="14.5703125" bestFit="1" customWidth="1"/>
    <col min="2" max="2" width="18.140625" bestFit="1" customWidth="1"/>
    <col min="3" max="3" width="14.28515625" bestFit="1" customWidth="1"/>
    <col min="4" max="4" width="19" bestFit="1" customWidth="1"/>
    <col min="5" max="5" width="14.42578125" bestFit="1" customWidth="1"/>
    <col min="6" max="6" width="29.28515625" bestFit="1" customWidth="1"/>
    <col min="7" max="7" width="14.42578125" bestFit="1" customWidth="1"/>
    <col min="8" max="8" width="21.140625" bestFit="1" customWidth="1"/>
  </cols>
  <sheetData>
    <row r="1" spans="1:8" ht="24.75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s="2">
        <v>44635</v>
      </c>
      <c r="H2" t="s">
        <v>58</v>
      </c>
    </row>
    <row r="3" spans="1:8">
      <c r="A3" t="s">
        <v>59</v>
      </c>
      <c r="B3" t="s">
        <v>60</v>
      </c>
      <c r="C3" t="s">
        <v>54</v>
      </c>
      <c r="D3" t="s">
        <v>61</v>
      </c>
      <c r="E3" t="s">
        <v>53</v>
      </c>
      <c r="F3" t="s">
        <v>62</v>
      </c>
      <c r="G3" s="2">
        <v>44936</v>
      </c>
      <c r="H3" t="s">
        <v>58</v>
      </c>
    </row>
    <row r="4" spans="1:8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s="2">
        <v>44367</v>
      </c>
      <c r="H4" t="s">
        <v>58</v>
      </c>
    </row>
    <row r="5" spans="1:8">
      <c r="A5" t="s">
        <v>69</v>
      </c>
      <c r="B5" t="s">
        <v>56</v>
      </c>
      <c r="C5" t="s">
        <v>54</v>
      </c>
      <c r="D5" t="s">
        <v>70</v>
      </c>
      <c r="E5" t="s">
        <v>67</v>
      </c>
      <c r="F5" t="s">
        <v>71</v>
      </c>
      <c r="G5" s="2">
        <v>44075</v>
      </c>
      <c r="H5" t="s">
        <v>58</v>
      </c>
    </row>
    <row r="6" spans="1:8">
      <c r="A6" t="s">
        <v>72</v>
      </c>
      <c r="B6" t="s">
        <v>67</v>
      </c>
      <c r="C6" t="s">
        <v>73</v>
      </c>
      <c r="D6" t="s">
        <v>74</v>
      </c>
      <c r="F6" t="s">
        <v>75</v>
      </c>
      <c r="G6" s="2">
        <v>43480</v>
      </c>
      <c r="H6" t="s">
        <v>58</v>
      </c>
    </row>
    <row r="7" spans="1:8">
      <c r="A7" t="s">
        <v>76</v>
      </c>
      <c r="B7" t="s">
        <v>77</v>
      </c>
      <c r="C7" t="s">
        <v>78</v>
      </c>
      <c r="D7" t="s">
        <v>79</v>
      </c>
      <c r="E7" t="s">
        <v>67</v>
      </c>
      <c r="F7" t="s">
        <v>80</v>
      </c>
      <c r="G7" s="2">
        <v>44255</v>
      </c>
      <c r="H7" t="s">
        <v>58</v>
      </c>
    </row>
    <row r="8" spans="1:8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s="2">
        <v>44747</v>
      </c>
      <c r="H8" t="s">
        <v>58</v>
      </c>
    </row>
    <row r="9" spans="1:8">
      <c r="A9" t="s">
        <v>87</v>
      </c>
      <c r="B9" t="s">
        <v>85</v>
      </c>
      <c r="C9" t="s">
        <v>83</v>
      </c>
      <c r="D9" t="s">
        <v>88</v>
      </c>
      <c r="E9" t="s">
        <v>67</v>
      </c>
      <c r="F9" t="s">
        <v>89</v>
      </c>
      <c r="G9" s="2">
        <v>44145</v>
      </c>
      <c r="H9" t="s">
        <v>58</v>
      </c>
    </row>
    <row r="10" spans="1:8">
      <c r="A10" t="s">
        <v>90</v>
      </c>
      <c r="B10" t="s">
        <v>91</v>
      </c>
      <c r="C10" t="s">
        <v>65</v>
      </c>
      <c r="D10" t="s">
        <v>92</v>
      </c>
      <c r="E10" t="s">
        <v>64</v>
      </c>
      <c r="F10" t="s">
        <v>93</v>
      </c>
      <c r="G10" s="2">
        <v>45017</v>
      </c>
      <c r="H10" t="s">
        <v>58</v>
      </c>
    </row>
    <row r="11" spans="1:8">
      <c r="A11" t="s">
        <v>94</v>
      </c>
      <c r="B11" t="s">
        <v>95</v>
      </c>
      <c r="C11" t="s">
        <v>54</v>
      </c>
      <c r="D11" t="s">
        <v>96</v>
      </c>
      <c r="E11" t="s">
        <v>56</v>
      </c>
      <c r="F11" t="s">
        <v>97</v>
      </c>
      <c r="G11" s="2">
        <v>44849</v>
      </c>
      <c r="H11" t="s">
        <v>58</v>
      </c>
    </row>
  </sheetData>
  <dataValidations count="1">
    <dataValidation type="list" allowBlank="1" showInputMessage="1" showErrorMessage="1" sqref="H2:H1000" xr:uid="{AECF0F35-BCFF-4D22-9139-848D91E375E0}">
      <formula1>"Active,Inactive,On Leave,Terminated"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CA68-652C-43D8-9321-8AE11B0AB514}">
  <dimension ref="A1:T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85546875" bestFit="1" customWidth="1"/>
    <col min="2" max="2" width="14.5703125" bestFit="1" customWidth="1"/>
    <col min="3" max="3" width="18.140625" bestFit="1" customWidth="1"/>
    <col min="4" max="4" width="14.28515625" bestFit="1" customWidth="1"/>
    <col min="5" max="5" width="19" bestFit="1" customWidth="1"/>
    <col min="6" max="6" width="41" bestFit="1" customWidth="1"/>
    <col min="7" max="7" width="10" bestFit="1" customWidth="1"/>
    <col min="8" max="8" width="16.28515625" bestFit="1" customWidth="1"/>
    <col min="9" max="9" width="12.42578125" bestFit="1" customWidth="1"/>
    <col min="10" max="10" width="11.7109375" bestFit="1" customWidth="1"/>
    <col min="11" max="11" width="18" bestFit="1" customWidth="1"/>
    <col min="12" max="12" width="10.7109375" bestFit="1" customWidth="1"/>
    <col min="13" max="13" width="13.140625" bestFit="1" customWidth="1"/>
    <col min="14" max="14" width="18.28515625" bestFit="1" customWidth="1"/>
    <col min="15" max="15" width="14.85546875" bestFit="1" customWidth="1"/>
    <col min="16" max="16" width="14.42578125" bestFit="1" customWidth="1"/>
    <col min="17" max="17" width="14.5703125" bestFit="1" customWidth="1"/>
    <col min="18" max="18" width="28.5703125" bestFit="1" customWidth="1"/>
    <col min="19" max="19" width="17.85546875" bestFit="1" customWidth="1"/>
    <col min="20" max="20" width="14.5703125" bestFit="1" customWidth="1"/>
  </cols>
  <sheetData>
    <row r="1" spans="1:20" ht="24.75" customHeight="1">
      <c r="A1" s="1" t="s">
        <v>40</v>
      </c>
      <c r="B1" s="1" t="s">
        <v>44</v>
      </c>
      <c r="C1" s="1" t="s">
        <v>45</v>
      </c>
      <c r="D1" s="1" t="s">
        <v>46</v>
      </c>
      <c r="E1" s="1" t="s">
        <v>41</v>
      </c>
      <c r="F1" s="1" t="s">
        <v>98</v>
      </c>
      <c r="G1" s="1" t="s">
        <v>9</v>
      </c>
      <c r="H1" s="1" t="s">
        <v>99</v>
      </c>
      <c r="I1" s="1" t="s">
        <v>100</v>
      </c>
      <c r="J1" s="1" t="s">
        <v>42</v>
      </c>
      <c r="K1" s="1" t="s">
        <v>101</v>
      </c>
      <c r="L1" s="1" t="s">
        <v>7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</row>
    <row r="2" spans="1:20">
      <c r="A2" t="s">
        <v>110</v>
      </c>
      <c r="B2" t="s">
        <v>52</v>
      </c>
      <c r="C2" t="s">
        <v>53</v>
      </c>
      <c r="D2" t="s">
        <v>54</v>
      </c>
      <c r="E2" t="s">
        <v>111</v>
      </c>
      <c r="F2" t="s">
        <v>112</v>
      </c>
      <c r="G2" t="s">
        <v>12</v>
      </c>
      <c r="H2" s="2">
        <v>46235</v>
      </c>
      <c r="I2" s="2">
        <v>46236</v>
      </c>
      <c r="J2" s="2">
        <v>46249</v>
      </c>
      <c r="K2" s="2"/>
      <c r="L2" t="s">
        <v>4</v>
      </c>
      <c r="M2" s="3">
        <v>0.6</v>
      </c>
      <c r="N2" s="4">
        <v>40</v>
      </c>
      <c r="O2" s="4">
        <v>30</v>
      </c>
      <c r="P2" t="s">
        <v>56</v>
      </c>
      <c r="R2" t="s">
        <v>113</v>
      </c>
      <c r="S2">
        <f ca="1">IF(OR(TaskTable[[#This Row],[Status]]="Completed",TaskTable[[#This Row],[Status]]="Cancelled"),0,IF(TaskTable[[#This Row],[Due Date]]="","",MAX(0,TaskTable[[#This Row],[Due Date]]-TODAY())))</f>
        <v>4</v>
      </c>
      <c r="T2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3" spans="1:20">
      <c r="A3" t="s">
        <v>114</v>
      </c>
      <c r="B3" t="s">
        <v>59</v>
      </c>
      <c r="C3" t="s">
        <v>60</v>
      </c>
      <c r="D3" t="s">
        <v>54</v>
      </c>
      <c r="E3" t="s">
        <v>115</v>
      </c>
      <c r="F3" t="s">
        <v>116</v>
      </c>
      <c r="G3" t="s">
        <v>11</v>
      </c>
      <c r="H3" s="2">
        <v>46237</v>
      </c>
      <c r="I3" s="2">
        <v>46237</v>
      </c>
      <c r="J3" s="2">
        <v>46244</v>
      </c>
      <c r="K3" s="2"/>
      <c r="L3" t="s">
        <v>4</v>
      </c>
      <c r="M3" s="3">
        <v>0.8</v>
      </c>
      <c r="N3" s="4">
        <v>16</v>
      </c>
      <c r="O3" s="4">
        <v>14</v>
      </c>
      <c r="P3" t="s">
        <v>53</v>
      </c>
      <c r="Q3" t="s">
        <v>110</v>
      </c>
      <c r="R3" t="s">
        <v>117</v>
      </c>
      <c r="S3">
        <f ca="1">IF(OR(TaskTable[[#This Row],[Status]]="Completed",TaskTable[[#This Row],[Status]]="Cancelled"),0,IF(TaskTable[[#This Row],[Due Date]]="","",MAX(0,TaskTable[[#This Row],[Due Date]]-TODAY())))</f>
        <v>0</v>
      </c>
      <c r="T3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Delayed</v>
      </c>
    </row>
    <row r="4" spans="1:20">
      <c r="A4" t="s">
        <v>118</v>
      </c>
      <c r="B4" t="s">
        <v>63</v>
      </c>
      <c r="C4" t="s">
        <v>64</v>
      </c>
      <c r="D4" t="s">
        <v>65</v>
      </c>
      <c r="E4" t="s">
        <v>119</v>
      </c>
      <c r="F4" t="s">
        <v>120</v>
      </c>
      <c r="G4" t="s">
        <v>12</v>
      </c>
      <c r="H4" s="2">
        <v>46235</v>
      </c>
      <c r="I4" s="2">
        <v>46235</v>
      </c>
      <c r="J4" s="2">
        <v>46254</v>
      </c>
      <c r="K4" s="2"/>
      <c r="L4" t="s">
        <v>4</v>
      </c>
      <c r="M4" s="3">
        <v>0.45</v>
      </c>
      <c r="N4" s="4">
        <v>30</v>
      </c>
      <c r="O4" s="4">
        <v>15</v>
      </c>
      <c r="P4" t="s">
        <v>67</v>
      </c>
      <c r="S4">
        <f ca="1">IF(OR(TaskTable[[#This Row],[Status]]="Completed",TaskTable[[#This Row],[Status]]="Cancelled"),0,IF(TaskTable[[#This Row],[Due Date]]="","",MAX(0,TaskTable[[#This Row],[Due Date]]-TODAY())))</f>
        <v>9</v>
      </c>
      <c r="T4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5" spans="1:20">
      <c r="A5" t="s">
        <v>121</v>
      </c>
      <c r="B5" t="s">
        <v>69</v>
      </c>
      <c r="C5" t="s">
        <v>56</v>
      </c>
      <c r="D5" t="s">
        <v>54</v>
      </c>
      <c r="E5" t="s">
        <v>122</v>
      </c>
      <c r="F5" t="s">
        <v>123</v>
      </c>
      <c r="G5" t="s">
        <v>15</v>
      </c>
      <c r="H5" s="2">
        <v>46228</v>
      </c>
      <c r="I5" s="2">
        <v>46229</v>
      </c>
      <c r="J5" s="2">
        <v>46242</v>
      </c>
      <c r="K5" s="2">
        <v>46241</v>
      </c>
      <c r="L5" t="s">
        <v>16</v>
      </c>
      <c r="M5" s="3">
        <v>1</v>
      </c>
      <c r="N5" s="4">
        <v>20</v>
      </c>
      <c r="O5" s="4">
        <v>18</v>
      </c>
      <c r="P5" t="s">
        <v>67</v>
      </c>
      <c r="R5" t="s">
        <v>124</v>
      </c>
      <c r="S5">
        <f ca="1">IF(OR(TaskTable[[#This Row],[Status]]="Completed",TaskTable[[#This Row],[Status]]="Cancelled"),0,IF(TaskTable[[#This Row],[Due Date]]="","",MAX(0,TaskTable[[#This Row],[Due Date]]-TODAY())))</f>
        <v>0</v>
      </c>
      <c r="T5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Completed</v>
      </c>
    </row>
    <row r="6" spans="1:20">
      <c r="A6" t="s">
        <v>125</v>
      </c>
      <c r="B6" t="s">
        <v>72</v>
      </c>
      <c r="C6" t="s">
        <v>67</v>
      </c>
      <c r="D6" t="s">
        <v>73</v>
      </c>
      <c r="E6" t="s">
        <v>126</v>
      </c>
      <c r="F6" t="s">
        <v>127</v>
      </c>
      <c r="G6" t="s">
        <v>12</v>
      </c>
      <c r="H6" s="2">
        <v>46239</v>
      </c>
      <c r="I6" s="2">
        <v>46240</v>
      </c>
      <c r="J6" s="2">
        <v>46246</v>
      </c>
      <c r="K6" s="2"/>
      <c r="L6" t="s">
        <v>4</v>
      </c>
      <c r="M6" s="3">
        <v>0.5</v>
      </c>
      <c r="N6" s="4">
        <v>10</v>
      </c>
      <c r="O6" s="4">
        <v>5</v>
      </c>
      <c r="S6">
        <f ca="1">IF(OR(TaskTable[[#This Row],[Status]]="Completed",TaskTable[[#This Row],[Status]]="Cancelled"),0,IF(TaskTable[[#This Row],[Due Date]]="","",MAX(0,TaskTable[[#This Row],[Due Date]]-TODAY())))</f>
        <v>1</v>
      </c>
      <c r="T6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Due Soon</v>
      </c>
    </row>
    <row r="7" spans="1:20">
      <c r="A7" t="s">
        <v>128</v>
      </c>
      <c r="B7" t="s">
        <v>76</v>
      </c>
      <c r="C7" t="s">
        <v>77</v>
      </c>
      <c r="D7" t="s">
        <v>78</v>
      </c>
      <c r="E7" t="s">
        <v>129</v>
      </c>
      <c r="F7" t="s">
        <v>130</v>
      </c>
      <c r="G7" t="s">
        <v>15</v>
      </c>
      <c r="H7" s="2">
        <v>46218</v>
      </c>
      <c r="I7" s="2">
        <v>46219</v>
      </c>
      <c r="J7" s="2">
        <v>46264</v>
      </c>
      <c r="K7" s="2"/>
      <c r="L7" t="s">
        <v>4</v>
      </c>
      <c r="M7" s="3">
        <v>0.4</v>
      </c>
      <c r="N7" s="4">
        <v>60</v>
      </c>
      <c r="O7" s="4">
        <v>25</v>
      </c>
      <c r="P7" t="s">
        <v>67</v>
      </c>
      <c r="S7">
        <f ca="1">IF(OR(TaskTable[[#This Row],[Status]]="Completed",TaskTable[[#This Row],[Status]]="Cancelled"),0,IF(TaskTable[[#This Row],[Due Date]]="","",MAX(0,TaskTable[[#This Row],[Due Date]]-TODAY())))</f>
        <v>19</v>
      </c>
      <c r="T7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8" spans="1:20">
      <c r="A8" t="s">
        <v>131</v>
      </c>
      <c r="B8" t="s">
        <v>81</v>
      </c>
      <c r="C8" t="s">
        <v>82</v>
      </c>
      <c r="D8" t="s">
        <v>83</v>
      </c>
      <c r="E8" t="s">
        <v>132</v>
      </c>
      <c r="F8" t="s">
        <v>133</v>
      </c>
      <c r="G8" t="s">
        <v>12</v>
      </c>
      <c r="H8" s="2">
        <v>46235</v>
      </c>
      <c r="I8" s="2">
        <v>46236</v>
      </c>
      <c r="J8" s="2">
        <v>46244</v>
      </c>
      <c r="K8" s="2"/>
      <c r="L8" t="s">
        <v>10</v>
      </c>
      <c r="M8" s="3">
        <v>0</v>
      </c>
      <c r="N8" s="4">
        <v>15</v>
      </c>
      <c r="O8" s="4">
        <v>0</v>
      </c>
      <c r="P8" t="s">
        <v>85</v>
      </c>
      <c r="R8" t="s">
        <v>134</v>
      </c>
      <c r="S8">
        <f ca="1">IF(OR(TaskTable[[#This Row],[Status]]="Completed",TaskTable[[#This Row],[Status]]="Cancelled"),0,IF(TaskTable[[#This Row],[Due Date]]="","",MAX(0,TaskTable[[#This Row],[Due Date]]-TODAY())))</f>
        <v>0</v>
      </c>
      <c r="T8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Delayed</v>
      </c>
    </row>
    <row r="9" spans="1:20">
      <c r="A9" t="s">
        <v>135</v>
      </c>
      <c r="B9" t="s">
        <v>87</v>
      </c>
      <c r="C9" t="s">
        <v>85</v>
      </c>
      <c r="D9" t="s">
        <v>83</v>
      </c>
      <c r="E9" t="s">
        <v>136</v>
      </c>
      <c r="F9" t="s">
        <v>137</v>
      </c>
      <c r="G9" t="s">
        <v>11</v>
      </c>
      <c r="H9" s="2">
        <v>46223</v>
      </c>
      <c r="I9" s="2">
        <v>46224</v>
      </c>
      <c r="J9" s="2">
        <v>46249</v>
      </c>
      <c r="K9" s="2"/>
      <c r="L9" t="s">
        <v>4</v>
      </c>
      <c r="M9" s="3">
        <v>0.7</v>
      </c>
      <c r="N9" s="4">
        <v>50</v>
      </c>
      <c r="O9" s="4">
        <v>40</v>
      </c>
      <c r="P9" t="s">
        <v>67</v>
      </c>
      <c r="S9">
        <f ca="1">IF(OR(TaskTable[[#This Row],[Status]]="Completed",TaskTable[[#This Row],[Status]]="Cancelled"),0,IF(TaskTable[[#This Row],[Due Date]]="","",MAX(0,TaskTable[[#This Row],[Due Date]]-TODAY())))</f>
        <v>4</v>
      </c>
      <c r="T9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10" spans="1:20">
      <c r="A10" t="s">
        <v>138</v>
      </c>
      <c r="B10" t="s">
        <v>90</v>
      </c>
      <c r="C10" t="s">
        <v>91</v>
      </c>
      <c r="D10" t="s">
        <v>65</v>
      </c>
      <c r="E10" t="s">
        <v>139</v>
      </c>
      <c r="F10" t="s">
        <v>140</v>
      </c>
      <c r="G10" t="s">
        <v>17</v>
      </c>
      <c r="H10" s="2">
        <v>46239</v>
      </c>
      <c r="I10" s="2">
        <v>46240</v>
      </c>
      <c r="J10" s="2">
        <v>46259</v>
      </c>
      <c r="K10" s="2"/>
      <c r="L10" t="s">
        <v>10</v>
      </c>
      <c r="M10" s="3">
        <v>0</v>
      </c>
      <c r="N10" s="4">
        <v>20</v>
      </c>
      <c r="O10" s="4">
        <v>0</v>
      </c>
      <c r="P10" t="s">
        <v>64</v>
      </c>
      <c r="Q10" t="s">
        <v>118</v>
      </c>
      <c r="R10" t="s">
        <v>141</v>
      </c>
      <c r="S10">
        <f ca="1">IF(OR(TaskTable[[#This Row],[Status]]="Completed",TaskTable[[#This Row],[Status]]="Cancelled"),0,IF(TaskTable[[#This Row],[Due Date]]="","",MAX(0,TaskTable[[#This Row],[Due Date]]-TODAY())))</f>
        <v>14</v>
      </c>
      <c r="T10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11" spans="1:20">
      <c r="A11" t="s">
        <v>142</v>
      </c>
      <c r="B11" t="s">
        <v>94</v>
      </c>
      <c r="C11" t="s">
        <v>95</v>
      </c>
      <c r="D11" t="s">
        <v>54</v>
      </c>
      <c r="E11" t="s">
        <v>143</v>
      </c>
      <c r="F11" t="s">
        <v>144</v>
      </c>
      <c r="G11" t="s">
        <v>15</v>
      </c>
      <c r="H11" s="2">
        <v>46235</v>
      </c>
      <c r="I11" s="2">
        <v>46236</v>
      </c>
      <c r="J11" s="2">
        <v>46252</v>
      </c>
      <c r="K11" s="2"/>
      <c r="L11" t="s">
        <v>4</v>
      </c>
      <c r="M11" s="3">
        <v>0.55000000000000004</v>
      </c>
      <c r="N11" s="4">
        <v>35</v>
      </c>
      <c r="O11" s="4">
        <v>20</v>
      </c>
      <c r="P11" t="s">
        <v>56</v>
      </c>
      <c r="Q11" t="s">
        <v>110</v>
      </c>
      <c r="S11">
        <f ca="1">IF(OR(TaskTable[[#This Row],[Status]]="Completed",TaskTable[[#This Row],[Status]]="Cancelled"),0,IF(TaskTable[[#This Row],[Due Date]]="","",MAX(0,TaskTable[[#This Row],[Due Date]]-TODAY())))</f>
        <v>7</v>
      </c>
      <c r="T11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12" spans="1:20">
      <c r="A12" t="s">
        <v>145</v>
      </c>
      <c r="B12" t="s">
        <v>52</v>
      </c>
      <c r="C12" t="s">
        <v>53</v>
      </c>
      <c r="D12" t="s">
        <v>54</v>
      </c>
      <c r="E12" t="s">
        <v>146</v>
      </c>
      <c r="F12" t="s">
        <v>147</v>
      </c>
      <c r="G12" t="s">
        <v>15</v>
      </c>
      <c r="H12" s="2">
        <v>46242</v>
      </c>
      <c r="I12" s="2">
        <v>46243</v>
      </c>
      <c r="J12" s="2">
        <v>46248</v>
      </c>
      <c r="K12" s="2"/>
      <c r="L12" t="s">
        <v>10</v>
      </c>
      <c r="M12" s="3">
        <v>0</v>
      </c>
      <c r="N12" s="4">
        <v>8</v>
      </c>
      <c r="O12" s="4">
        <v>0</v>
      </c>
      <c r="P12" t="s">
        <v>56</v>
      </c>
      <c r="S12">
        <f ca="1">IF(OR(TaskTable[[#This Row],[Status]]="Completed",TaskTable[[#This Row],[Status]]="Cancelled"),0,IF(TaskTable[[#This Row],[Due Date]]="","",MAX(0,TaskTable[[#This Row],[Due Date]]-TODAY())))</f>
        <v>3</v>
      </c>
      <c r="T12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Due Soon</v>
      </c>
    </row>
    <row r="13" spans="1:20">
      <c r="A13" t="s">
        <v>148</v>
      </c>
      <c r="B13" t="s">
        <v>59</v>
      </c>
      <c r="C13" t="s">
        <v>60</v>
      </c>
      <c r="D13" t="s">
        <v>54</v>
      </c>
      <c r="E13" t="s">
        <v>149</v>
      </c>
      <c r="F13" t="s">
        <v>150</v>
      </c>
      <c r="G13" t="s">
        <v>17</v>
      </c>
      <c r="H13" s="2">
        <v>46240</v>
      </c>
      <c r="I13" s="2">
        <v>46241</v>
      </c>
      <c r="J13" s="2">
        <v>46254</v>
      </c>
      <c r="K13" s="2"/>
      <c r="L13" t="s">
        <v>14</v>
      </c>
      <c r="M13" s="3">
        <v>0.2</v>
      </c>
      <c r="N13" s="4">
        <v>12</v>
      </c>
      <c r="O13" s="4">
        <v>3</v>
      </c>
      <c r="P13" t="s">
        <v>53</v>
      </c>
      <c r="Q13" t="s">
        <v>110</v>
      </c>
      <c r="R13" t="s">
        <v>151</v>
      </c>
      <c r="S13">
        <f ca="1">IF(OR(TaskTable[[#This Row],[Status]]="Completed",TaskTable[[#This Row],[Status]]="Cancelled"),0,IF(TaskTable[[#This Row],[Due Date]]="","",MAX(0,TaskTable[[#This Row],[Due Date]]-TODAY())))</f>
        <v>9</v>
      </c>
      <c r="T13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14" spans="1:20">
      <c r="A14" t="s">
        <v>152</v>
      </c>
      <c r="B14" t="s">
        <v>63</v>
      </c>
      <c r="C14" t="s">
        <v>64</v>
      </c>
      <c r="D14" t="s">
        <v>65</v>
      </c>
      <c r="E14" t="s">
        <v>153</v>
      </c>
      <c r="F14" t="s">
        <v>154</v>
      </c>
      <c r="G14" t="s">
        <v>12</v>
      </c>
      <c r="H14" s="2">
        <v>46231</v>
      </c>
      <c r="I14" s="2">
        <v>46232</v>
      </c>
      <c r="J14" s="2">
        <v>46239</v>
      </c>
      <c r="K14" s="2">
        <v>46240</v>
      </c>
      <c r="L14" t="s">
        <v>16</v>
      </c>
      <c r="M14" s="3">
        <v>1</v>
      </c>
      <c r="N14" s="4">
        <v>25</v>
      </c>
      <c r="O14" s="4">
        <v>28</v>
      </c>
      <c r="P14" t="s">
        <v>67</v>
      </c>
      <c r="R14" t="s">
        <v>155</v>
      </c>
      <c r="S14">
        <f ca="1">IF(OR(TaskTable[[#This Row],[Status]]="Completed",TaskTable[[#This Row],[Status]]="Cancelled"),0,IF(TaskTable[[#This Row],[Due Date]]="","",MAX(0,TaskTable[[#This Row],[Due Date]]-TODAY())))</f>
        <v>0</v>
      </c>
      <c r="T14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Completed</v>
      </c>
    </row>
    <row r="15" spans="1:20">
      <c r="A15" t="s">
        <v>156</v>
      </c>
      <c r="B15" t="s">
        <v>69</v>
      </c>
      <c r="C15" t="s">
        <v>56</v>
      </c>
      <c r="D15" t="s">
        <v>54</v>
      </c>
      <c r="E15" t="s">
        <v>157</v>
      </c>
      <c r="F15" t="s">
        <v>158</v>
      </c>
      <c r="G15" t="s">
        <v>15</v>
      </c>
      <c r="H15" s="2">
        <v>46244</v>
      </c>
      <c r="I15" s="2">
        <v>46245</v>
      </c>
      <c r="J15" s="2">
        <v>46251</v>
      </c>
      <c r="K15" s="2"/>
      <c r="L15" t="s">
        <v>4</v>
      </c>
      <c r="M15" s="3">
        <v>0.3</v>
      </c>
      <c r="N15" s="4">
        <v>16</v>
      </c>
      <c r="O15" s="4">
        <v>5</v>
      </c>
      <c r="P15" t="s">
        <v>67</v>
      </c>
      <c r="S15">
        <f ca="1">IF(OR(TaskTable[[#This Row],[Status]]="Completed",TaskTable[[#This Row],[Status]]="Cancelled"),0,IF(TaskTable[[#This Row],[Due Date]]="","",MAX(0,TaskTable[[#This Row],[Due Date]]-TODAY())))</f>
        <v>6</v>
      </c>
      <c r="T15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  <row r="16" spans="1:20">
      <c r="A16" t="s">
        <v>159</v>
      </c>
      <c r="B16" t="s">
        <v>76</v>
      </c>
      <c r="C16" t="s">
        <v>77</v>
      </c>
      <c r="D16" t="s">
        <v>78</v>
      </c>
      <c r="E16" t="s">
        <v>160</v>
      </c>
      <c r="F16" t="s">
        <v>161</v>
      </c>
      <c r="G16" t="s">
        <v>17</v>
      </c>
      <c r="H16" s="2">
        <v>46235</v>
      </c>
      <c r="I16" s="2">
        <v>46236</v>
      </c>
      <c r="J16" s="2">
        <v>46264</v>
      </c>
      <c r="K16" s="2"/>
      <c r="L16" t="s">
        <v>4</v>
      </c>
      <c r="M16" s="3">
        <v>0.25</v>
      </c>
      <c r="N16" s="4">
        <v>20</v>
      </c>
      <c r="O16" s="4">
        <v>5</v>
      </c>
      <c r="P16" t="s">
        <v>67</v>
      </c>
      <c r="S16">
        <f ca="1">IF(OR(TaskTable[[#This Row],[Status]]="Completed",TaskTable[[#This Row],[Status]]="Cancelled"),0,IF(TaskTable[[#This Row],[Due Date]]="","",MAX(0,TaskTable[[#This Row],[Due Date]]-TODAY())))</f>
        <v>19</v>
      </c>
      <c r="T16" t="str">
        <f ca="1">IF(TaskTable[[#This Row],[Status]]="Completed","Completed",IF(TaskTable[[#This Row],[Status]]="Cancelled","Cancelled",IF(TaskTable[[#This Row],[Due Date]]="","",IF(TaskTable[[#This Row],[Due Date]]&lt;TODAY(),"Delayed",IF(TaskTable[[#This Row],[Due Date]]-TODAY()&lt;=3,"Due Soon","On Track")))))</f>
        <v>On Track</v>
      </c>
    </row>
  </sheetData>
  <conditionalFormatting sqref="G2:G100">
    <cfRule type="containsText" dxfId="29" priority="14" operator="containsText" text="Critical">
      <formula>NOT(ISERROR(SEARCH("Critical",G2)))</formula>
    </cfRule>
  </conditionalFormatting>
  <conditionalFormatting sqref="G2:G100">
    <cfRule type="containsText" dxfId="28" priority="15" operator="containsText" text="High">
      <formula>NOT(ISERROR(SEARCH("High",G2)))</formula>
    </cfRule>
  </conditionalFormatting>
  <conditionalFormatting sqref="G2:G100">
    <cfRule type="containsText" dxfId="27" priority="16" operator="containsText" text="Medium">
      <formula>NOT(ISERROR(SEARCH("Medium",G2)))</formula>
    </cfRule>
  </conditionalFormatting>
  <conditionalFormatting sqref="G2:G100">
    <cfRule type="containsText" dxfId="26" priority="17" operator="containsText" text="Low">
      <formula>NOT(ISERROR(SEARCH("Low",G2)))</formula>
    </cfRule>
  </conditionalFormatting>
  <conditionalFormatting sqref="L2:L100">
    <cfRule type="containsText" dxfId="25" priority="18" operator="containsText" text="Completed">
      <formula>NOT(ISERROR(SEARCH("Completed",L2)))</formula>
    </cfRule>
  </conditionalFormatting>
  <conditionalFormatting sqref="L2:L100">
    <cfRule type="containsText" dxfId="24" priority="19" operator="containsText" text="In Progress">
      <formula>NOT(ISERROR(SEARCH("In Progress",L2)))</formula>
    </cfRule>
  </conditionalFormatting>
  <conditionalFormatting sqref="L2:L100">
    <cfRule type="containsText" dxfId="23" priority="20" operator="containsText" text="To Do">
      <formula>NOT(ISERROR(SEARCH("To Do",L2)))</formula>
    </cfRule>
  </conditionalFormatting>
  <conditionalFormatting sqref="L2:L100">
    <cfRule type="containsText" dxfId="22" priority="21" operator="containsText" text="On Hold">
      <formula>NOT(ISERROR(SEARCH("On Hold",L2)))</formula>
    </cfRule>
  </conditionalFormatting>
  <conditionalFormatting sqref="L2:L100">
    <cfRule type="containsText" dxfId="21" priority="22" operator="containsText" text="Cancelled">
      <formula>NOT(ISERROR(SEARCH("Cancelled",L2)))</formula>
    </cfRule>
  </conditionalFormatting>
  <conditionalFormatting sqref="T2:T100">
    <cfRule type="containsText" dxfId="20" priority="23" operator="containsText" text="Delayed">
      <formula>NOT(ISERROR(SEARCH("Delayed",T2)))</formula>
    </cfRule>
  </conditionalFormatting>
  <conditionalFormatting sqref="T2:T100">
    <cfRule type="containsText" dxfId="19" priority="24" operator="containsText" text="Due Soon">
      <formula>NOT(ISERROR(SEARCH("Due Soon",T2)))</formula>
    </cfRule>
  </conditionalFormatting>
  <conditionalFormatting sqref="T2:T100">
    <cfRule type="containsText" dxfId="18" priority="25" operator="containsText" text="On Track">
      <formula>NOT(ISERROR(SEARCH("On Track",T2)))</formula>
    </cfRule>
  </conditionalFormatting>
  <conditionalFormatting sqref="T2:T100">
    <cfRule type="containsText" dxfId="17" priority="26" operator="containsText" text="Completed">
      <formula>NOT(ISERROR(SEARCH("Completed",T2)))</formula>
    </cfRule>
  </conditionalFormatting>
  <dataValidations count="2">
    <dataValidation type="list" allowBlank="1" showInputMessage="1" showErrorMessage="1" sqref="G2:G1000" xr:uid="{9689F2B8-E319-4088-BCD9-BAF37A3420AC}">
      <formula1>"Critical,High,Medium,Low"</formula1>
    </dataValidation>
    <dataValidation type="list" allowBlank="1" showInputMessage="1" showErrorMessage="1" sqref="L2:L1000" xr:uid="{014DF2EF-7A9D-4FB0-93FE-40402560EFCF}">
      <formula1>"To Do,In Progress,On Hold,Completed,Cancelled"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D2B7-88E4-4892-AEC4-0C8E73B76E07}">
  <dimension ref="A1:H1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140625" bestFit="1" customWidth="1"/>
    <col min="2" max="2" width="18.140625" bestFit="1" customWidth="1"/>
    <col min="3" max="3" width="19" bestFit="1" customWidth="1"/>
    <col min="4" max="4" width="10" bestFit="1" customWidth="1"/>
    <col min="5" max="5" width="10.7109375" bestFit="1" customWidth="1"/>
    <col min="6" max="6" width="13.140625" bestFit="1" customWidth="1"/>
    <col min="7" max="7" width="11.7109375" bestFit="1" customWidth="1"/>
    <col min="8" max="8" width="12.42578125" bestFit="1" customWidth="1"/>
  </cols>
  <sheetData>
    <row r="1" spans="1:8" ht="21">
      <c r="A1" s="5" t="s">
        <v>162</v>
      </c>
    </row>
    <row r="2" spans="1:8">
      <c r="A2" s="6" t="s">
        <v>163</v>
      </c>
      <c r="B2" s="6">
        <f ca="1">WEEKNUM(TODAY())</f>
        <v>33</v>
      </c>
    </row>
    <row r="4" spans="1:8" ht="24.75" customHeight="1">
      <c r="A4" s="1" t="s">
        <v>21</v>
      </c>
      <c r="B4" s="1" t="s">
        <v>45</v>
      </c>
      <c r="C4" s="1" t="s">
        <v>41</v>
      </c>
      <c r="D4" s="1" t="s">
        <v>9</v>
      </c>
      <c r="E4" s="1" t="s">
        <v>7</v>
      </c>
      <c r="F4" s="1" t="s">
        <v>102</v>
      </c>
      <c r="G4" s="1" t="s">
        <v>42</v>
      </c>
      <c r="H4" s="1" t="s">
        <v>164</v>
      </c>
    </row>
    <row r="5" spans="1:8">
      <c r="A5">
        <f>IFERROR(WEEKNUM('Task Management'!J2),"")</f>
        <v>33</v>
      </c>
      <c r="B5" t="str">
        <f>IFERROR('Task Management'!C2,"")</f>
        <v>John Smith</v>
      </c>
      <c r="C5" t="str">
        <f>IFERROR('Task Management'!E2,"")</f>
        <v>API Development</v>
      </c>
      <c r="D5" t="str">
        <f>IFERROR('Task Management'!G2,"")</f>
        <v>High</v>
      </c>
      <c r="E5" t="str">
        <f>IFERROR('Task Management'!L2,"")</f>
        <v>In Progress</v>
      </c>
      <c r="F5" s="3">
        <f>IFERROR('Task Management'!M2,"")</f>
        <v>0.6</v>
      </c>
      <c r="G5" s="2">
        <f>IFERROR('Task Management'!J2,"")</f>
        <v>46249</v>
      </c>
      <c r="H5">
        <f>IFERROR('Task Management'!N2,"")</f>
        <v>40</v>
      </c>
    </row>
    <row r="6" spans="1:8">
      <c r="A6">
        <f>IFERROR(WEEKNUM('Task Management'!J3),"")</f>
        <v>33</v>
      </c>
      <c r="B6" t="str">
        <f>IFERROR('Task Management'!C3,"")</f>
        <v>Emily Davis</v>
      </c>
      <c r="C6" t="str">
        <f>IFERROR('Task Management'!E3,"")</f>
        <v>Bug Fixes</v>
      </c>
      <c r="D6" t="str">
        <f>IFERROR('Task Management'!G3,"")</f>
        <v>Critical</v>
      </c>
      <c r="E6" t="str">
        <f>IFERROR('Task Management'!L3,"")</f>
        <v>In Progress</v>
      </c>
      <c r="F6" s="3">
        <f>IFERROR('Task Management'!M3,"")</f>
        <v>0.8</v>
      </c>
      <c r="G6" s="2">
        <f>IFERROR('Task Management'!J3,"")</f>
        <v>46244</v>
      </c>
      <c r="H6">
        <f>IFERROR('Task Management'!N3,"")</f>
        <v>16</v>
      </c>
    </row>
    <row r="7" spans="1:8">
      <c r="A7">
        <f>IFERROR(WEEKNUM('Task Management'!J4),"")</f>
        <v>34</v>
      </c>
      <c r="B7" t="str">
        <f>IFERROR('Task Management'!C4,"")</f>
        <v>Michael Brown</v>
      </c>
      <c r="C7" t="str">
        <f>IFERROR('Task Management'!E4,"")</f>
        <v>Campaign Planning</v>
      </c>
      <c r="D7" t="str">
        <f>IFERROR('Task Management'!G4,"")</f>
        <v>High</v>
      </c>
      <c r="E7" t="str">
        <f>IFERROR('Task Management'!L4,"")</f>
        <v>In Progress</v>
      </c>
      <c r="F7" s="3">
        <f>IFERROR('Task Management'!M4,"")</f>
        <v>0.45</v>
      </c>
      <c r="G7" s="2">
        <f>IFERROR('Task Management'!J4,"")</f>
        <v>46254</v>
      </c>
      <c r="H7">
        <f>IFERROR('Task Management'!N4,"")</f>
        <v>30</v>
      </c>
    </row>
    <row r="8" spans="1:8">
      <c r="A8">
        <f>IFERROR(WEEKNUM('Task Management'!J5),"")</f>
        <v>32</v>
      </c>
      <c r="B8" t="str">
        <f>IFERROR('Task Management'!C5,"")</f>
        <v>Sarah Johnson</v>
      </c>
      <c r="C8" t="str">
        <f>IFERROR('Task Management'!E5,"")</f>
        <v>Architecture Review</v>
      </c>
      <c r="D8" t="str">
        <f>IFERROR('Task Management'!G5,"")</f>
        <v>Medium</v>
      </c>
      <c r="E8" t="str">
        <f>IFERROR('Task Management'!L5,"")</f>
        <v>Completed</v>
      </c>
      <c r="F8" s="3">
        <f>IFERROR('Task Management'!M5,"")</f>
        <v>1</v>
      </c>
      <c r="G8" s="2">
        <f>IFERROR('Task Management'!J5,"")</f>
        <v>46242</v>
      </c>
      <c r="H8">
        <f>IFERROR('Task Management'!N5,"")</f>
        <v>20</v>
      </c>
    </row>
    <row r="9" spans="1:8">
      <c r="A9">
        <f>IFERROR(WEEKNUM('Task Management'!J6),"")</f>
        <v>33</v>
      </c>
      <c r="B9" t="str">
        <f>IFERROR('Task Management'!C6,"")</f>
        <v>David Wilson</v>
      </c>
      <c r="C9" t="str">
        <f>IFERROR('Task Management'!E6,"")</f>
        <v>Budget Review</v>
      </c>
      <c r="D9" t="str">
        <f>IFERROR('Task Management'!G6,"")</f>
        <v>High</v>
      </c>
      <c r="E9" t="str">
        <f>IFERROR('Task Management'!L6,"")</f>
        <v>In Progress</v>
      </c>
      <c r="F9" s="3">
        <f>IFERROR('Task Management'!M6,"")</f>
        <v>0.5</v>
      </c>
      <c r="G9" s="2">
        <f>IFERROR('Task Management'!J6,"")</f>
        <v>46246</v>
      </c>
      <c r="H9">
        <f>IFERROR('Task Management'!N6,"")</f>
        <v>10</v>
      </c>
    </row>
    <row r="10" spans="1:8">
      <c r="A10">
        <f>IFERROR(WEEKNUM('Task Management'!J7),"")</f>
        <v>36</v>
      </c>
      <c r="B10" t="str">
        <f>IFERROR('Task Management'!C7,"")</f>
        <v>Jessica Lee</v>
      </c>
      <c r="C10" t="str">
        <f>IFERROR('Task Management'!E7,"")</f>
        <v>Recruitment Drive</v>
      </c>
      <c r="D10" t="str">
        <f>IFERROR('Task Management'!G7,"")</f>
        <v>Medium</v>
      </c>
      <c r="E10" t="str">
        <f>IFERROR('Task Management'!L7,"")</f>
        <v>In Progress</v>
      </c>
      <c r="F10" s="3">
        <f>IFERROR('Task Management'!M7,"")</f>
        <v>0.4</v>
      </c>
      <c r="G10" s="2">
        <f>IFERROR('Task Management'!J7,"")</f>
        <v>46264</v>
      </c>
      <c r="H10">
        <f>IFERROR('Task Management'!N7,"")</f>
        <v>60</v>
      </c>
    </row>
    <row r="11" spans="1:8">
      <c r="A11">
        <f>IFERROR(WEEKNUM('Task Management'!J8),"")</f>
        <v>33</v>
      </c>
      <c r="B11" t="str">
        <f>IFERROR('Task Management'!C8,"")</f>
        <v>Robert Taylor</v>
      </c>
      <c r="C11" t="str">
        <f>IFERROR('Task Management'!E8,"")</f>
        <v>Financial Report</v>
      </c>
      <c r="D11" t="str">
        <f>IFERROR('Task Management'!G8,"")</f>
        <v>High</v>
      </c>
      <c r="E11" t="str">
        <f>IFERROR('Task Management'!L8,"")</f>
        <v>To Do</v>
      </c>
      <c r="F11" s="3">
        <f>IFERROR('Task Management'!M8,"")</f>
        <v>0</v>
      </c>
      <c r="G11" s="2">
        <f>IFERROR('Task Management'!J8,"")</f>
        <v>46244</v>
      </c>
      <c r="H11">
        <f>IFERROR('Task Management'!N8,"")</f>
        <v>15</v>
      </c>
    </row>
    <row r="12" spans="1:8">
      <c r="A12">
        <f>IFERROR(WEEKNUM('Task Management'!J9),"")</f>
        <v>33</v>
      </c>
      <c r="B12" t="str">
        <f>IFERROR('Task Management'!C9,"")</f>
        <v>Lisa Anderson</v>
      </c>
      <c r="C12" t="str">
        <f>IFERROR('Task Management'!E9,"")</f>
        <v>Audit Preparation</v>
      </c>
      <c r="D12" t="str">
        <f>IFERROR('Task Management'!G9,"")</f>
        <v>Critical</v>
      </c>
      <c r="E12" t="str">
        <f>IFERROR('Task Management'!L9,"")</f>
        <v>In Progress</v>
      </c>
      <c r="F12" s="3">
        <f>IFERROR('Task Management'!M9,"")</f>
        <v>0.7</v>
      </c>
      <c r="G12" s="2">
        <f>IFERROR('Task Management'!J9,"")</f>
        <v>46249</v>
      </c>
      <c r="H12">
        <f>IFERROR('Task Management'!N9,"")</f>
        <v>50</v>
      </c>
    </row>
    <row r="13" spans="1:8">
      <c r="A13">
        <f>IFERROR(WEEKNUM('Task Management'!J10),"")</f>
        <v>35</v>
      </c>
      <c r="B13" t="str">
        <f>IFERROR('Task Management'!C10,"")</f>
        <v>James Martinez</v>
      </c>
      <c r="C13" t="str">
        <f>IFERROR('Task Management'!E10,"")</f>
        <v>Social Media</v>
      </c>
      <c r="D13" t="str">
        <f>IFERROR('Task Management'!G10,"")</f>
        <v>Low</v>
      </c>
      <c r="E13" t="str">
        <f>IFERROR('Task Management'!L10,"")</f>
        <v>To Do</v>
      </c>
      <c r="F13" s="3">
        <f>IFERROR('Task Management'!M10,"")</f>
        <v>0</v>
      </c>
      <c r="G13" s="2">
        <f>IFERROR('Task Management'!J10,"")</f>
        <v>46259</v>
      </c>
      <c r="H13">
        <f>IFERROR('Task Management'!N10,"")</f>
        <v>20</v>
      </c>
    </row>
    <row r="14" spans="1:8">
      <c r="A14">
        <f>IFERROR(WEEKNUM('Task Management'!J11),"")</f>
        <v>34</v>
      </c>
      <c r="B14" t="str">
        <f>IFERROR('Task Management'!C11,"")</f>
        <v>Amanda White</v>
      </c>
      <c r="C14" t="str">
        <f>IFERROR('Task Management'!E11,"")</f>
        <v>Test Automation</v>
      </c>
      <c r="D14" t="str">
        <f>IFERROR('Task Management'!G11,"")</f>
        <v>Medium</v>
      </c>
      <c r="E14" t="str">
        <f>IFERROR('Task Management'!L11,"")</f>
        <v>In Progress</v>
      </c>
      <c r="F14" s="3">
        <f>IFERROR('Task Management'!M11,"")</f>
        <v>0.55000000000000004</v>
      </c>
      <c r="G14" s="2">
        <f>IFERROR('Task Management'!J11,"")</f>
        <v>46252</v>
      </c>
      <c r="H14">
        <f>IFERROR('Task Management'!N11,"")</f>
        <v>35</v>
      </c>
    </row>
    <row r="15" spans="1:8">
      <c r="A15">
        <f>IFERROR(WEEKNUM('Task Management'!J12),"")</f>
        <v>33</v>
      </c>
      <c r="B15" t="str">
        <f>IFERROR('Task Management'!C12,"")</f>
        <v>John Smith</v>
      </c>
      <c r="C15" t="str">
        <f>IFERROR('Task Management'!E12,"")</f>
        <v>Code Review</v>
      </c>
      <c r="D15" t="str">
        <f>IFERROR('Task Management'!G12,"")</f>
        <v>Medium</v>
      </c>
      <c r="E15" t="str">
        <f>IFERROR('Task Management'!L12,"")</f>
        <v>To Do</v>
      </c>
      <c r="F15" s="3">
        <f>IFERROR('Task Management'!M12,"")</f>
        <v>0</v>
      </c>
      <c r="G15" s="2">
        <f>IFERROR('Task Management'!J12,"")</f>
        <v>46248</v>
      </c>
      <c r="H15">
        <f>IFERROR('Task Management'!N12,"")</f>
        <v>8</v>
      </c>
    </row>
    <row r="16" spans="1:8">
      <c r="A16">
        <f>IFERROR(WEEKNUM('Task Management'!J13),"")</f>
        <v>34</v>
      </c>
      <c r="B16" t="str">
        <f>IFERROR('Task Management'!C13,"")</f>
        <v>Emily Davis</v>
      </c>
      <c r="C16" t="str">
        <f>IFERROR('Task Management'!E13,"")</f>
        <v>Documentation</v>
      </c>
      <c r="D16" t="str">
        <f>IFERROR('Task Management'!G13,"")</f>
        <v>Low</v>
      </c>
      <c r="E16" t="str">
        <f>IFERROR('Task Management'!L13,"")</f>
        <v>On Hold</v>
      </c>
      <c r="F16" s="3">
        <f>IFERROR('Task Management'!M13,"")</f>
        <v>0.2</v>
      </c>
      <c r="G16" s="2">
        <f>IFERROR('Task Management'!J13,"")</f>
        <v>46254</v>
      </c>
      <c r="H16">
        <f>IFERROR('Task Management'!N13,"")</f>
        <v>12</v>
      </c>
    </row>
    <row r="17" spans="1:8">
      <c r="A17">
        <f>IFERROR(WEEKNUM('Task Management'!J14),"")</f>
        <v>32</v>
      </c>
      <c r="B17" t="str">
        <f>IFERROR('Task Management'!C14,"")</f>
        <v>Michael Brown</v>
      </c>
      <c r="C17" t="str">
        <f>IFERROR('Task Management'!E14,"")</f>
        <v>Competitor Analysis</v>
      </c>
      <c r="D17" t="str">
        <f>IFERROR('Task Management'!G14,"")</f>
        <v>High</v>
      </c>
      <c r="E17" t="str">
        <f>IFERROR('Task Management'!L14,"")</f>
        <v>Completed</v>
      </c>
      <c r="F17" s="3">
        <f>IFERROR('Task Management'!M14,"")</f>
        <v>1</v>
      </c>
      <c r="G17" s="2">
        <f>IFERROR('Task Management'!J14,"")</f>
        <v>46239</v>
      </c>
      <c r="H17">
        <f>IFERROR('Task Management'!N14,"")</f>
        <v>25</v>
      </c>
    </row>
    <row r="18" spans="1:8">
      <c r="A18">
        <f>IFERROR(WEEKNUM('Task Management'!J15),"")</f>
        <v>34</v>
      </c>
      <c r="B18" t="str">
        <f>IFERROR('Task Management'!C15,"")</f>
        <v>Sarah Johnson</v>
      </c>
      <c r="C18" t="str">
        <f>IFERROR('Task Management'!E15,"")</f>
        <v>Team Training</v>
      </c>
      <c r="D18" t="str">
        <f>IFERROR('Task Management'!G15,"")</f>
        <v>Medium</v>
      </c>
      <c r="E18" t="str">
        <f>IFERROR('Task Management'!L15,"")</f>
        <v>In Progress</v>
      </c>
      <c r="F18" s="3">
        <f>IFERROR('Task Management'!M15,"")</f>
        <v>0.3</v>
      </c>
      <c r="G18" s="2">
        <f>IFERROR('Task Management'!J15,"")</f>
        <v>46251</v>
      </c>
      <c r="H18">
        <f>IFERROR('Task Management'!N15,"")</f>
        <v>16</v>
      </c>
    </row>
    <row r="19" spans="1:8">
      <c r="A19">
        <f>IFERROR(WEEKNUM('Task Management'!J16),"")</f>
        <v>36</v>
      </c>
      <c r="B19" t="str">
        <f>IFERROR('Task Management'!C16,"")</f>
        <v>Jessica Lee</v>
      </c>
      <c r="C19" t="str">
        <f>IFERROR('Task Management'!E16,"")</f>
        <v>Policy Update</v>
      </c>
      <c r="D19" t="str">
        <f>IFERROR('Task Management'!G16,"")</f>
        <v>Low</v>
      </c>
      <c r="E19" t="str">
        <f>IFERROR('Task Management'!L16,"")</f>
        <v>In Progress</v>
      </c>
      <c r="F19" s="3">
        <f>IFERROR('Task Management'!M16,"")</f>
        <v>0.25</v>
      </c>
      <c r="G19" s="2">
        <f>IFERROR('Task Management'!J16,"")</f>
        <v>46264</v>
      </c>
      <c r="H19">
        <f>IFERROR('Task Management'!N16,"")</f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18C7-169F-4E43-8A3F-29DB3AEA66BA}">
  <dimension ref="A1:I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5.28515625" bestFit="1" customWidth="1"/>
    <col min="2" max="2" width="13.28515625" bestFit="1" customWidth="1"/>
    <col min="3" max="4" width="18.7109375" bestFit="1" customWidth="1"/>
    <col min="5" max="6" width="16.140625" bestFit="1" customWidth="1"/>
    <col min="7" max="7" width="20.7109375" bestFit="1" customWidth="1"/>
    <col min="8" max="8" width="17.5703125" bestFit="1" customWidth="1"/>
    <col min="9" max="9" width="20.140625" bestFit="1" customWidth="1"/>
  </cols>
  <sheetData>
    <row r="1" spans="1:9" ht="21">
      <c r="A1" s="5" t="s">
        <v>165</v>
      </c>
    </row>
    <row r="2" spans="1:9">
      <c r="A2" s="6" t="s">
        <v>166</v>
      </c>
      <c r="B2" s="6" t="str">
        <f ca="1">TEXT(TODAY(),"MMMM YYYY")</f>
        <v>August 2026</v>
      </c>
    </row>
    <row r="4" spans="1:9" ht="24.75" customHeight="1">
      <c r="A4" s="1" t="s">
        <v>45</v>
      </c>
      <c r="B4" s="1" t="s">
        <v>2</v>
      </c>
      <c r="C4" s="1" t="s">
        <v>3</v>
      </c>
      <c r="D4" s="1" t="s">
        <v>167</v>
      </c>
      <c r="E4" s="1" t="s">
        <v>5</v>
      </c>
      <c r="F4" s="1" t="s">
        <v>6</v>
      </c>
      <c r="G4" s="1" t="s">
        <v>168</v>
      </c>
      <c r="H4" s="1" t="s">
        <v>169</v>
      </c>
      <c r="I4" s="1" t="s">
        <v>170</v>
      </c>
    </row>
    <row r="5" spans="1:9">
      <c r="A5" t="s">
        <v>53</v>
      </c>
      <c r="B5">
        <f>COUNTIF(TaskTable[Employee Name],"John Smith")</f>
        <v>2</v>
      </c>
      <c r="C5">
        <f>COUNTIFS(TaskTable[Employee Name],"John Smith",TaskTable[Status],"Completed")</f>
        <v>0</v>
      </c>
      <c r="D5">
        <f>COUNTIFS(TaskTable[Employee Name],"John Smith",TaskTable[Status],"In Progress")</f>
        <v>1</v>
      </c>
      <c r="E5">
        <f>COUNTIFS(TaskTable[Employee Name],"John Smith",TaskTable[Status],"To Do")+COUNTIFS(TaskTable[Employee Name],"John Smith",TaskTable[Status],"On Hold")</f>
        <v>1</v>
      </c>
      <c r="F5">
        <f ca="1">COUNTIFS(TaskTable[Employee Name],"John Smith",TaskTable[Delay Status],"Delayed")</f>
        <v>0</v>
      </c>
      <c r="G5" s="3">
        <f>IFERROR(COUNTIFS(TaskTable[Employee Name],"John Smith",TaskTable[Status],"Completed")/COUNTIF(TaskTable[Employee Name],"John Smith"),0)</f>
        <v>0</v>
      </c>
      <c r="H5" s="4">
        <f>SUMIF(TaskTable[Employee Name],"John Smith",TaskTable[Estimated Hours])</f>
        <v>48</v>
      </c>
      <c r="I5" s="4">
        <f>SUMIF(TaskTable[Employee Name],"John Smith",TaskTable[Actual Hours])</f>
        <v>30</v>
      </c>
    </row>
    <row r="6" spans="1:9">
      <c r="A6" t="s">
        <v>60</v>
      </c>
      <c r="B6">
        <f>COUNTIF(TaskTable[Employee Name],"Emily Davis")</f>
        <v>2</v>
      </c>
      <c r="C6">
        <f>COUNTIFS(TaskTable[Employee Name],"Emily Davis",TaskTable[Status],"Completed")</f>
        <v>0</v>
      </c>
      <c r="D6">
        <f>COUNTIFS(TaskTable[Employee Name],"Emily Davis",TaskTable[Status],"In Progress")</f>
        <v>1</v>
      </c>
      <c r="E6">
        <f>COUNTIFS(TaskTable[Employee Name],"Emily Davis",TaskTable[Status],"To Do")+COUNTIFS(TaskTable[Employee Name],"Emily Davis",TaskTable[Status],"On Hold")</f>
        <v>1</v>
      </c>
      <c r="F6">
        <f ca="1">COUNTIFS(TaskTable[Employee Name],"Emily Davis",TaskTable[Delay Status],"Delayed")</f>
        <v>1</v>
      </c>
      <c r="G6" s="3">
        <f>IFERROR(COUNTIFS(TaskTable[Employee Name],"Emily Davis",TaskTable[Status],"Completed")/COUNTIF(TaskTable[Employee Name],"Emily Davis"),0)</f>
        <v>0</v>
      </c>
      <c r="H6" s="4">
        <f>SUMIF(TaskTable[Employee Name],"Emily Davis",TaskTable[Estimated Hours])</f>
        <v>28</v>
      </c>
      <c r="I6" s="4">
        <f>SUMIF(TaskTable[Employee Name],"Emily Davis",TaskTable[Actual Hours])</f>
        <v>17</v>
      </c>
    </row>
    <row r="7" spans="1:9">
      <c r="A7" t="s">
        <v>64</v>
      </c>
      <c r="B7">
        <f>COUNTIF(TaskTable[Employee Name],"Michael Brown")</f>
        <v>2</v>
      </c>
      <c r="C7">
        <f>COUNTIFS(TaskTable[Employee Name],"Michael Brown",TaskTable[Status],"Completed")</f>
        <v>1</v>
      </c>
      <c r="D7">
        <f>COUNTIFS(TaskTable[Employee Name],"Michael Brown",TaskTable[Status],"In Progress")</f>
        <v>1</v>
      </c>
      <c r="E7">
        <f>COUNTIFS(TaskTable[Employee Name],"Michael Brown",TaskTable[Status],"To Do")+COUNTIFS(TaskTable[Employee Name],"Michael Brown",TaskTable[Status],"On Hold")</f>
        <v>0</v>
      </c>
      <c r="F7">
        <f ca="1">COUNTIFS(TaskTable[Employee Name],"Michael Brown",TaskTable[Delay Status],"Delayed")</f>
        <v>0</v>
      </c>
      <c r="G7" s="3">
        <f>IFERROR(COUNTIFS(TaskTable[Employee Name],"Michael Brown",TaskTable[Status],"Completed")/COUNTIF(TaskTable[Employee Name],"Michael Brown"),0)</f>
        <v>0.5</v>
      </c>
      <c r="H7" s="4">
        <f>SUMIF(TaskTable[Employee Name],"Michael Brown",TaskTable[Estimated Hours])</f>
        <v>55</v>
      </c>
      <c r="I7" s="4">
        <f>SUMIF(TaskTable[Employee Name],"Michael Brown",TaskTable[Actual Hours])</f>
        <v>43</v>
      </c>
    </row>
    <row r="8" spans="1:9">
      <c r="A8" t="s">
        <v>56</v>
      </c>
      <c r="B8">
        <f>COUNTIF(TaskTable[Employee Name],"Sarah Johnson")</f>
        <v>2</v>
      </c>
      <c r="C8">
        <f>COUNTIFS(TaskTable[Employee Name],"Sarah Johnson",TaskTable[Status],"Completed")</f>
        <v>1</v>
      </c>
      <c r="D8">
        <f>COUNTIFS(TaskTable[Employee Name],"Sarah Johnson",TaskTable[Status],"In Progress")</f>
        <v>1</v>
      </c>
      <c r="E8">
        <f>COUNTIFS(TaskTable[Employee Name],"Sarah Johnson",TaskTable[Status],"To Do")+COUNTIFS(TaskTable[Employee Name],"Sarah Johnson",TaskTable[Status],"On Hold")</f>
        <v>0</v>
      </c>
      <c r="F8">
        <f ca="1">COUNTIFS(TaskTable[Employee Name],"Sarah Johnson",TaskTable[Delay Status],"Delayed")</f>
        <v>0</v>
      </c>
      <c r="G8" s="3">
        <f>IFERROR(COUNTIFS(TaskTable[Employee Name],"Sarah Johnson",TaskTable[Status],"Completed")/COUNTIF(TaskTable[Employee Name],"Sarah Johnson"),0)</f>
        <v>0.5</v>
      </c>
      <c r="H8" s="4">
        <f>SUMIF(TaskTable[Employee Name],"Sarah Johnson",TaskTable[Estimated Hours])</f>
        <v>36</v>
      </c>
      <c r="I8" s="4">
        <f>SUMIF(TaskTable[Employee Name],"Sarah Johnson",TaskTable[Actual Hours])</f>
        <v>23</v>
      </c>
    </row>
    <row r="9" spans="1:9">
      <c r="A9" t="s">
        <v>67</v>
      </c>
      <c r="B9">
        <f>COUNTIF(TaskTable[Employee Name],"David Wilson")</f>
        <v>1</v>
      </c>
      <c r="C9">
        <f>COUNTIFS(TaskTable[Employee Name],"David Wilson",TaskTable[Status],"Completed")</f>
        <v>0</v>
      </c>
      <c r="D9">
        <f>COUNTIFS(TaskTable[Employee Name],"David Wilson",TaskTable[Status],"In Progress")</f>
        <v>1</v>
      </c>
      <c r="E9">
        <f>COUNTIFS(TaskTable[Employee Name],"David Wilson",TaskTable[Status],"To Do")+COUNTIFS(TaskTable[Employee Name],"David Wilson",TaskTable[Status],"On Hold")</f>
        <v>0</v>
      </c>
      <c r="F9">
        <f ca="1">COUNTIFS(TaskTable[Employee Name],"David Wilson",TaskTable[Delay Status],"Delayed")</f>
        <v>0</v>
      </c>
      <c r="G9" s="3">
        <f>IFERROR(COUNTIFS(TaskTable[Employee Name],"David Wilson",TaskTable[Status],"Completed")/COUNTIF(TaskTable[Employee Name],"David Wilson"),0)</f>
        <v>0</v>
      </c>
      <c r="H9" s="4">
        <f>SUMIF(TaskTable[Employee Name],"David Wilson",TaskTable[Estimated Hours])</f>
        <v>10</v>
      </c>
      <c r="I9" s="4">
        <f>SUMIF(TaskTable[Employee Name],"David Wilson",TaskTable[Actual Hours])</f>
        <v>5</v>
      </c>
    </row>
    <row r="10" spans="1:9">
      <c r="A10" t="s">
        <v>77</v>
      </c>
      <c r="B10">
        <f>COUNTIF(TaskTable[Employee Name],"Jessica Lee")</f>
        <v>2</v>
      </c>
      <c r="C10">
        <f>COUNTIFS(TaskTable[Employee Name],"Jessica Lee",TaskTable[Status],"Completed")</f>
        <v>0</v>
      </c>
      <c r="D10">
        <f>COUNTIFS(TaskTable[Employee Name],"Jessica Lee",TaskTable[Status],"In Progress")</f>
        <v>2</v>
      </c>
      <c r="E10">
        <f>COUNTIFS(TaskTable[Employee Name],"Jessica Lee",TaskTable[Status],"To Do")+COUNTIFS(TaskTable[Employee Name],"Jessica Lee",TaskTable[Status],"On Hold")</f>
        <v>0</v>
      </c>
      <c r="F10">
        <f ca="1">COUNTIFS(TaskTable[Employee Name],"Jessica Lee",TaskTable[Delay Status],"Delayed")</f>
        <v>0</v>
      </c>
      <c r="G10" s="3">
        <f>IFERROR(COUNTIFS(TaskTable[Employee Name],"Jessica Lee",TaskTable[Status],"Completed")/COUNTIF(TaskTable[Employee Name],"Jessica Lee"),0)</f>
        <v>0</v>
      </c>
      <c r="H10" s="4">
        <f>SUMIF(TaskTable[Employee Name],"Jessica Lee",TaskTable[Estimated Hours])</f>
        <v>80</v>
      </c>
      <c r="I10" s="4">
        <f>SUMIF(TaskTable[Employee Name],"Jessica Lee",TaskTable[Actual Hours])</f>
        <v>30</v>
      </c>
    </row>
    <row r="11" spans="1:9">
      <c r="A11" t="s">
        <v>82</v>
      </c>
      <c r="B11">
        <f>COUNTIF(TaskTable[Employee Name],"Robert Taylor")</f>
        <v>1</v>
      </c>
      <c r="C11">
        <f>COUNTIFS(TaskTable[Employee Name],"Robert Taylor",TaskTable[Status],"Completed")</f>
        <v>0</v>
      </c>
      <c r="D11">
        <f>COUNTIFS(TaskTable[Employee Name],"Robert Taylor",TaskTable[Status],"In Progress")</f>
        <v>0</v>
      </c>
      <c r="E11">
        <f>COUNTIFS(TaskTable[Employee Name],"Robert Taylor",TaskTable[Status],"To Do")+COUNTIFS(TaskTable[Employee Name],"Robert Taylor",TaskTable[Status],"On Hold")</f>
        <v>1</v>
      </c>
      <c r="F11">
        <f ca="1">COUNTIFS(TaskTable[Employee Name],"Robert Taylor",TaskTable[Delay Status],"Delayed")</f>
        <v>1</v>
      </c>
      <c r="G11" s="3">
        <f>IFERROR(COUNTIFS(TaskTable[Employee Name],"Robert Taylor",TaskTable[Status],"Completed")/COUNTIF(TaskTable[Employee Name],"Robert Taylor"),0)</f>
        <v>0</v>
      </c>
      <c r="H11" s="4">
        <f>SUMIF(TaskTable[Employee Name],"Robert Taylor",TaskTable[Estimated Hours])</f>
        <v>15</v>
      </c>
      <c r="I11" s="4">
        <f>SUMIF(TaskTable[Employee Name],"Robert Taylor",TaskTable[Actual Hours])</f>
        <v>0</v>
      </c>
    </row>
    <row r="12" spans="1:9">
      <c r="A12" t="s">
        <v>85</v>
      </c>
      <c r="B12">
        <f>COUNTIF(TaskTable[Employee Name],"Lisa Anderson")</f>
        <v>1</v>
      </c>
      <c r="C12">
        <f>COUNTIFS(TaskTable[Employee Name],"Lisa Anderson",TaskTable[Status],"Completed")</f>
        <v>0</v>
      </c>
      <c r="D12">
        <f>COUNTIFS(TaskTable[Employee Name],"Lisa Anderson",TaskTable[Status],"In Progress")</f>
        <v>1</v>
      </c>
      <c r="E12">
        <f>COUNTIFS(TaskTable[Employee Name],"Lisa Anderson",TaskTable[Status],"To Do")+COUNTIFS(TaskTable[Employee Name],"Lisa Anderson",TaskTable[Status],"On Hold")</f>
        <v>0</v>
      </c>
      <c r="F12">
        <f ca="1">COUNTIFS(TaskTable[Employee Name],"Lisa Anderson",TaskTable[Delay Status],"Delayed")</f>
        <v>0</v>
      </c>
      <c r="G12" s="3">
        <f>IFERROR(COUNTIFS(TaskTable[Employee Name],"Lisa Anderson",TaskTable[Status],"Completed")/COUNTIF(TaskTable[Employee Name],"Lisa Anderson"),0)</f>
        <v>0</v>
      </c>
      <c r="H12" s="4">
        <f>SUMIF(TaskTable[Employee Name],"Lisa Anderson",TaskTable[Estimated Hours])</f>
        <v>50</v>
      </c>
      <c r="I12" s="4">
        <f>SUMIF(TaskTable[Employee Name],"Lisa Anderson",TaskTable[Actual Hours])</f>
        <v>40</v>
      </c>
    </row>
    <row r="13" spans="1:9">
      <c r="A13" t="s">
        <v>91</v>
      </c>
      <c r="B13">
        <f>COUNTIF(TaskTable[Employee Name],"James Martinez")</f>
        <v>1</v>
      </c>
      <c r="C13">
        <f>COUNTIFS(TaskTable[Employee Name],"James Martinez",TaskTable[Status],"Completed")</f>
        <v>0</v>
      </c>
      <c r="D13">
        <f>COUNTIFS(TaskTable[Employee Name],"James Martinez",TaskTable[Status],"In Progress")</f>
        <v>0</v>
      </c>
      <c r="E13">
        <f>COUNTIFS(TaskTable[Employee Name],"James Martinez",TaskTable[Status],"To Do")+COUNTIFS(TaskTable[Employee Name],"James Martinez",TaskTable[Status],"On Hold")</f>
        <v>1</v>
      </c>
      <c r="F13">
        <f ca="1">COUNTIFS(TaskTable[Employee Name],"James Martinez",TaskTable[Delay Status],"Delayed")</f>
        <v>0</v>
      </c>
      <c r="G13" s="3">
        <f>IFERROR(COUNTIFS(TaskTable[Employee Name],"James Martinez",TaskTable[Status],"Completed")/COUNTIF(TaskTable[Employee Name],"James Martinez"),0)</f>
        <v>0</v>
      </c>
      <c r="H13" s="4">
        <f>SUMIF(TaskTable[Employee Name],"James Martinez",TaskTable[Estimated Hours])</f>
        <v>20</v>
      </c>
      <c r="I13" s="4">
        <f>SUMIF(TaskTable[Employee Name],"James Martinez",TaskTable[Actual Hours])</f>
        <v>0</v>
      </c>
    </row>
    <row r="14" spans="1:9">
      <c r="A14" t="s">
        <v>95</v>
      </c>
      <c r="B14">
        <f>COUNTIF(TaskTable[Employee Name],"Amanda White")</f>
        <v>1</v>
      </c>
      <c r="C14">
        <f>COUNTIFS(TaskTable[Employee Name],"Amanda White",TaskTable[Status],"Completed")</f>
        <v>0</v>
      </c>
      <c r="D14">
        <f>COUNTIFS(TaskTable[Employee Name],"Amanda White",TaskTable[Status],"In Progress")</f>
        <v>1</v>
      </c>
      <c r="E14">
        <f>COUNTIFS(TaskTable[Employee Name],"Amanda White",TaskTable[Status],"To Do")+COUNTIFS(TaskTable[Employee Name],"Amanda White",TaskTable[Status],"On Hold")</f>
        <v>0</v>
      </c>
      <c r="F14">
        <f ca="1">COUNTIFS(TaskTable[Employee Name],"Amanda White",TaskTable[Delay Status],"Delayed")</f>
        <v>0</v>
      </c>
      <c r="G14" s="3">
        <f>IFERROR(COUNTIFS(TaskTable[Employee Name],"Amanda White",TaskTable[Status],"Completed")/COUNTIF(TaskTable[Employee Name],"Amanda White"),0)</f>
        <v>0</v>
      </c>
      <c r="H14" s="4">
        <f>SUMIF(TaskTable[Employee Name],"Amanda White",TaskTable[Estimated Hours])</f>
        <v>35</v>
      </c>
      <c r="I14" s="4">
        <f>SUMIF(TaskTable[Employee Name],"Amanda White",TaskTable[Actual Hours])</f>
        <v>20</v>
      </c>
    </row>
    <row r="15" spans="1:9">
      <c r="A15" s="7" t="s">
        <v>171</v>
      </c>
      <c r="B15" s="7">
        <f>SUM(B5:B14)</f>
        <v>15</v>
      </c>
      <c r="C15" s="7">
        <f>SUM(C5:C14)</f>
        <v>2</v>
      </c>
      <c r="D15" s="7">
        <f>SUM(D5:D14)</f>
        <v>9</v>
      </c>
      <c r="E15" s="7">
        <f>SUM(E5:E14)</f>
        <v>4</v>
      </c>
      <c r="F15" s="7">
        <f ca="1">SUM(F5:F14)</f>
        <v>2</v>
      </c>
      <c r="G15" s="8">
        <f>IFERROR(SUM(C5:C14)/SUM(B5:B14),0)</f>
        <v>0.13333333333333333</v>
      </c>
      <c r="H15" s="9">
        <f>SUM(H5:H14)</f>
        <v>377</v>
      </c>
      <c r="I15" s="9">
        <f>SUM(I5:I14)</f>
        <v>208</v>
      </c>
    </row>
  </sheetData>
  <conditionalFormatting sqref="G5:G14">
    <cfRule type="dataBar" priority="1">
      <dataBar>
        <cfvo type="min"/>
        <cfvo type="max"/>
        <color rgb="FF28A745"/>
      </dataBar>
      <extLst>
        <ext xmlns:x14="http://schemas.microsoft.com/office/spreadsheetml/2009/9/main" uri="{B025F937-C7B1-47D3-B67F-A62EFF666E3E}">
          <x14:id>{43F35DD0-5E4F-476C-A916-70B0F02B1B53}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F35DD0-5E4F-476C-A916-70B0F02B1B5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G5:G14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Raushan Kumar Manjhi</cp:lastModifiedBy>
  <cp:revision/>
  <dcterms:created xsi:type="dcterms:W3CDTF">2026-08-11T08:19:36Z</dcterms:created>
  <dcterms:modified xsi:type="dcterms:W3CDTF">2026-08-11T08:27:51Z</dcterms:modified>
  <cp:category/>
  <cp:contentStatus/>
</cp:coreProperties>
</file>